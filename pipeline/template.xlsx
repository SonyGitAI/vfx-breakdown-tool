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1120" windowWidth="24220" windowHeight="16880" tabRatio="600" firstSheet="0" activeTab="0" autoFilterDateGrouping="1"/>
  </bookViews>
  <sheets>
    <sheet name="Show Summary" sheetId="1" state="visible" r:id="rId1"/>
    <sheet name="Sequence Breakdown" sheetId="2" state="visible" r:id="rId2"/>
    <sheet name="Shot Breakdown" sheetId="3" state="visible" r:id="rId3"/>
    <sheet name="Tasks Summary" sheetId="4" state="hidden" r:id="rId4"/>
    <sheet name="Options" sheetId="5" state="hidden" r:id="rId5"/>
  </sheets>
  <definedNames>
    <definedName name="_xlnm._FilterDatabase" localSheetId="0" hidden="1">'Show Summary'!$A$16:$F$38</definedName>
    <definedName name="_xlnm._FilterDatabase" localSheetId="1" hidden="1">'Sequence Breakdown'!$A$5:$E$54</definedName>
    <definedName name="_xlnm._FilterDatabase" localSheetId="2" hidden="1">'Shot Breakdown'!$A$5:$Q$1748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#\ #/8"/>
    <numFmt numFmtId="166" formatCode="m/d/yyyy\ h:mm:ss"/>
  </numFmts>
  <fonts count="17">
    <font>
      <name val="Arial"/>
      <color rgb="FF000000"/>
      <sz val="10"/>
      <scheme val="minor"/>
    </font>
    <font>
      <name val="Arial"/>
      <family val="2"/>
      <b val="1"/>
      <color rgb="FFFFFFFF"/>
      <sz val="18"/>
    </font>
    <font>
      <name val="Arial"/>
      <family val="2"/>
      <color theme="1"/>
      <sz val="10"/>
    </font>
    <font>
      <name val="Arial"/>
      <family val="2"/>
      <color rgb="FFFFFFFF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theme="1"/>
      <sz val="10"/>
      <scheme val="minor"/>
    </font>
    <font>
      <name val="Arial"/>
      <family val="2"/>
      <color theme="1"/>
      <sz val="12"/>
    </font>
    <font>
      <name val="Arial"/>
      <family val="2"/>
      <b val="1"/>
      <color rgb="FFFFFFFF"/>
      <sz val="12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vertical="center"/>
    </xf>
    <xf numFmtId="3" fontId="2" fillId="0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2" borderId="0" pivotButton="0" quotePrefix="0" xfId="0"/>
    <xf numFmtId="164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9" fontId="2" fillId="0" borderId="3" applyAlignment="1" pivotButton="0" quotePrefix="0" xfId="0">
      <alignment horizontal="center" vertical="center"/>
    </xf>
    <xf numFmtId="10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3" fontId="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16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3" fontId="1" fillId="2" borderId="0" applyAlignment="1" pivotButton="0" quotePrefix="0" xfId="0">
      <alignment horizontal="center" vertical="center"/>
    </xf>
    <xf numFmtId="3" fontId="1" fillId="2" borderId="0" applyAlignment="1" pivotButton="0" quotePrefix="0" xfId="0">
      <alignment horizontal="left" vertical="center" wrapText="1"/>
    </xf>
    <xf numFmtId="3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3" fontId="4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 wrapText="1"/>
    </xf>
    <xf numFmtId="164" fontId="2" fillId="0" borderId="6" applyAlignment="1" pivotButton="0" quotePrefix="0" xfId="0">
      <alignment horizontal="center" vertical="center" wrapText="1"/>
    </xf>
    <xf numFmtId="3" fontId="4" fillId="2" borderId="0" applyAlignment="1" pivotButton="0" quotePrefix="0" xfId="0">
      <alignment horizontal="left" vertical="center" wrapText="1"/>
    </xf>
    <xf numFmtId="3" fontId="2" fillId="2" borderId="0" applyAlignment="1" pivotButton="0" quotePrefix="0" xfId="0">
      <alignment vertical="center"/>
    </xf>
    <xf numFmtId="3" fontId="2" fillId="2" borderId="0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3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7" applyAlignment="1" pivotButton="0" quotePrefix="0" xfId="0">
      <alignment vertical="center"/>
    </xf>
    <xf numFmtId="164" fontId="4" fillId="2" borderId="7" applyAlignment="1" pivotButton="0" quotePrefix="0" xfId="0">
      <alignment vertical="center" wrapText="1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wrapText="1"/>
    </xf>
    <xf numFmtId="164" fontId="2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horizontal="left" vertical="center" wrapText="1"/>
    </xf>
    <xf numFmtId="3" fontId="2" fillId="0" borderId="0" pivotButton="0" quotePrefix="0" xfId="0"/>
    <xf numFmtId="164" fontId="2" fillId="0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164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right" vertical="center"/>
    </xf>
    <xf numFmtId="10" fontId="2" fillId="0" borderId="0" pivotButton="0" quotePrefix="0" xfId="0"/>
    <xf numFmtId="4" fontId="2" fillId="0" borderId="0" pivotButton="0" quotePrefix="0" xfId="0"/>
    <xf numFmtId="166" fontId="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164" fontId="15" fillId="2" borderId="7" applyAlignment="1" pivotButton="0" quotePrefix="0" xfId="0">
      <alignment vertical="center" wrapText="1"/>
    </xf>
    <xf numFmtId="164" fontId="15" fillId="2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2" borderId="4" applyAlignment="1" pivotButton="0" quotePrefix="0" xfId="0">
      <alignment vertical="center"/>
    </xf>
    <xf numFmtId="0" fontId="5" fillId="0" borderId="5" pivotButton="0" quotePrefix="0" xfId="0"/>
    <xf numFmtId="0" fontId="5" fillId="0" borderId="2" pivotButton="0" quotePrefix="0" xfId="0"/>
    <xf numFmtId="0" fontId="1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164" fontId="12" fillId="4" borderId="1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164" fontId="2" fillId="0" borderId="0" applyAlignment="1" applyProtection="1" pivotButton="0" quotePrefix="0" xfId="0">
      <alignment horizontal="left" vertical="center" wrapText="1"/>
      <protection locked="1" hidden="1"/>
    </xf>
    <xf numFmtId="164" fontId="2" fillId="0" borderId="2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2" borderId="6" applyAlignment="1" pivotButton="0" quotePrefix="0" xfId="0">
      <alignment vertical="center"/>
    </xf>
    <xf numFmtId="0" fontId="0" fillId="0" borderId="5" pivotButton="0" quotePrefix="0" xfId="0"/>
    <xf numFmtId="0" fontId="0" fillId="0" borderId="2" pivotButton="0" quotePrefix="0" xfId="0"/>
    <xf numFmtId="165" fontId="2" fillId="0" borderId="1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164" fontId="4" fillId="2" borderId="0" applyAlignment="1" pivotButton="0" quotePrefix="0" xfId="0">
      <alignment horizontal="center" vertical="center" wrapText="1"/>
    </xf>
    <xf numFmtId="164" fontId="15" fillId="2" borderId="0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6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 wrapText="1"/>
    </xf>
    <xf numFmtId="164" fontId="4" fillId="2" borderId="7" applyAlignment="1" pivotButton="0" quotePrefix="0" xfId="0">
      <alignment vertical="center" wrapText="1"/>
    </xf>
    <xf numFmtId="164" fontId="15" fillId="2" borderId="7" applyAlignment="1" pivotButton="0" quotePrefix="0" xfId="0">
      <alignment vertical="center" wrapText="1"/>
    </xf>
    <xf numFmtId="164" fontId="2" fillId="0" borderId="0" pivotButton="0" quotePrefix="0" xfId="0"/>
  </cellXfs>
  <cellStyles count="1">
    <cellStyle name="Normal" xfId="0" builtinId="0"/>
  </cellStyles>
  <dxfs count="30">
    <dxf>
      <fill>
        <patternFill patternType="solid">
          <fgColor rgb="FFFCE8B2"/>
          <bgColor rgb="FFFCE8B2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674EA7"/>
          <bgColor rgb="FF674EA7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H38"/>
  <sheetViews>
    <sheetView showGridLines="0" tabSelected="1" zoomScale="120" zoomScaleNormal="120" workbookViewId="0">
      <pane ySplit="1" topLeftCell="A2" activePane="bottomLeft" state="frozen"/>
      <selection pane="bottomLeft" activeCell="I10" sqref="I10"/>
    </sheetView>
  </sheetViews>
  <sheetFormatPr baseColWidth="10" defaultColWidth="12.6640625" defaultRowHeight="15" customHeight="1"/>
  <cols>
    <col width="21.6640625" customWidth="1" style="90" min="1" max="1"/>
    <col width="12.6640625" customWidth="1" style="90" min="2" max="2"/>
    <col width="21.33203125" customWidth="1" style="90" min="3" max="3"/>
    <col width="12.6640625" customWidth="1" style="90" min="4" max="4"/>
    <col width="17.1640625" customWidth="1" style="90" min="5" max="5"/>
    <col width="12.1640625" customWidth="1" style="90" min="6" max="6"/>
    <col width="13.33203125" customWidth="1" style="90" min="7" max="7"/>
    <col width="14.1640625" customWidth="1" style="90" min="8" max="8"/>
  </cols>
  <sheetData>
    <row r="1" ht="15.75" customHeight="1" s="90">
      <c r="A1" s="91" t="inlineStr">
        <is>
          <t>PROJECT TITLE</t>
        </is>
      </c>
    </row>
    <row r="2" ht="15.75" customHeight="1" s="90">
      <c r="A2" s="3" t="inlineStr"/>
      <c r="B2" s="2" t="n"/>
      <c r="C2" s="2" t="n"/>
      <c r="D2" s="2" t="n"/>
      <c r="E2" s="2" t="n"/>
      <c r="F2" s="2" t="n"/>
      <c r="G2" s="2" t="n"/>
    </row>
    <row r="3" ht="15.75" customHeight="1" s="90">
      <c r="A3" s="4" t="n"/>
      <c r="B3" s="2" t="n"/>
      <c r="E3" s="5" t="inlineStr">
        <is>
          <t xml:space="preserve"> TOTAL SEQUENCES</t>
        </is>
      </c>
      <c r="F3" s="6" t="n">
        <v>2</v>
      </c>
      <c r="G3" s="2" t="n"/>
    </row>
    <row r="4" ht="15.75" customHeight="1" s="90">
      <c r="A4" s="4" t="n"/>
      <c r="B4" s="2" t="n"/>
      <c r="E4" s="5" t="inlineStr">
        <is>
          <t xml:space="preserve"> TOTAL SEQ COST </t>
        </is>
      </c>
      <c r="F4" s="103" t="n"/>
      <c r="G4" s="2" t="n"/>
    </row>
    <row r="5" ht="15.75" customHeight="1" s="90">
      <c r="A5" s="8" t="n"/>
      <c r="B5" s="2" t="n"/>
      <c r="E5" s="5" t="inlineStr">
        <is>
          <t xml:space="preserve"> AVG. SEQ COST </t>
        </is>
      </c>
      <c r="F5" s="103" t="n"/>
      <c r="G5" s="2" t="n"/>
    </row>
    <row r="6" ht="15.75" customHeight="1" s="90">
      <c r="A6" s="9" t="n"/>
      <c r="B6" s="2" t="n"/>
      <c r="C6" s="2" t="n"/>
      <c r="D6" s="2" t="n"/>
      <c r="E6" s="101" t="inlineStr">
        <is>
          <t>TRADITIONAL VFX</t>
        </is>
      </c>
      <c r="G6" s="100" t="inlineStr">
        <is>
          <t>HYBRID AI/VFX</t>
        </is>
      </c>
    </row>
    <row r="7" ht="15.75" customHeight="1" s="90">
      <c r="A7" s="10" t="n"/>
      <c r="B7" s="2" t="n"/>
      <c r="C7" s="5" t="inlineStr">
        <is>
          <t>Studio Estimate</t>
        </is>
      </c>
      <c r="D7" s="11" t="inlineStr">
        <is>
          <t>Items</t>
        </is>
      </c>
      <c r="E7" s="11" t="inlineStr">
        <is>
          <t>Cost</t>
        </is>
      </c>
      <c r="F7" s="11" t="inlineStr">
        <is>
          <t>Average Cost</t>
        </is>
      </c>
      <c r="G7" s="11" t="inlineStr">
        <is>
          <t>Cost</t>
        </is>
      </c>
      <c r="H7" s="11" t="inlineStr">
        <is>
          <t>Average Cost</t>
        </is>
      </c>
    </row>
    <row r="8" ht="15.75" customHeight="1" s="90">
      <c r="A8" s="104" t="n"/>
      <c r="B8" s="2" t="n"/>
      <c r="C8" s="13" t="inlineStr">
        <is>
          <t>VFX Shots</t>
        </is>
      </c>
      <c r="D8" s="6" t="n">
        <v>154</v>
      </c>
      <c r="E8" s="105">
        <f>'Shot Breakdown'!P2</f>
        <v/>
      </c>
      <c r="F8" s="105">
        <f>E8/D8</f>
        <v/>
      </c>
      <c r="G8" s="105">
        <f>'Shot Breakdown'!S2</f>
        <v/>
      </c>
      <c r="H8" s="105">
        <f>G8/D8</f>
        <v/>
      </c>
    </row>
    <row r="9" ht="15.75" customHeight="1" s="90">
      <c r="A9" s="104" t="n"/>
      <c r="B9" s="2" t="n"/>
      <c r="C9" s="13" t="inlineStr">
        <is>
          <t>VFX Allowance</t>
        </is>
      </c>
      <c r="D9" s="6" t="n">
        <v>215</v>
      </c>
      <c r="E9" s="105">
        <f>'Shot Breakdown'!P3</f>
        <v/>
      </c>
      <c r="F9" s="105">
        <f>E9/D9</f>
        <v/>
      </c>
      <c r="G9" s="105">
        <f>'Shot Breakdown'!S3</f>
        <v/>
      </c>
      <c r="H9" s="105">
        <f>G9/D9</f>
        <v/>
      </c>
    </row>
    <row r="10" ht="15.75" customHeight="1" s="90">
      <c r="A10" s="104" t="n"/>
      <c r="B10" s="2" t="n"/>
      <c r="C10" s="5" t="inlineStr">
        <is>
          <t>VFX Assets</t>
        </is>
      </c>
      <c r="D10" s="6" t="n">
        <v>37</v>
      </c>
      <c r="E10" s="105">
        <f>Assets!H2</f>
        <v/>
      </c>
      <c r="F10" s="105">
        <f>E10/D10</f>
        <v/>
      </c>
      <c r="G10" s="105">
        <f>Assets!H2</f>
        <v/>
      </c>
      <c r="H10" s="105">
        <f>G10/D10</f>
        <v/>
      </c>
    </row>
    <row r="11" ht="15.75" customHeight="1" s="90">
      <c r="A11" s="104" t="n"/>
      <c r="B11" s="2" t="n"/>
      <c r="C11" s="5" t="inlineStr">
        <is>
          <t>VFX Production Overhead</t>
        </is>
      </c>
      <c r="E11" s="105" t="n"/>
      <c r="F11" s="105" t="n"/>
      <c r="G11" s="105" t="n"/>
      <c r="H11" s="105" t="n"/>
    </row>
    <row r="12" ht="15.75" customHeight="1" s="90">
      <c r="A12" s="104" t="n"/>
      <c r="B12" s="2" t="n"/>
      <c r="C12" s="5" t="inlineStr">
        <is>
          <t>Gross Total</t>
        </is>
      </c>
      <c r="D12" s="15" t="n"/>
      <c r="E12" s="105">
        <f>SUM(E8:E11)</f>
        <v/>
      </c>
      <c r="F12" s="105" t="n"/>
      <c r="G12" s="105">
        <f>SUM(G8:G11)</f>
        <v/>
      </c>
      <c r="H12" s="105" t="n"/>
    </row>
    <row r="13" ht="15.75" customHeight="1" s="90">
      <c r="A13" s="104" t="n"/>
      <c r="B13" s="2" t="n"/>
      <c r="C13" s="5" t="inlineStr">
        <is>
          <t>Vendor Rebate</t>
        </is>
      </c>
      <c r="D13" s="16" t="n">
        <v>0</v>
      </c>
      <c r="E13" s="105">
        <f>D13*SUM(E8:E10)</f>
        <v/>
      </c>
      <c r="F13" s="105" t="n"/>
      <c r="G13" s="105">
        <f>F13*SUM(G8:G10)</f>
        <v/>
      </c>
      <c r="H13" s="105" t="n"/>
    </row>
    <row r="14" ht="15.75" customHeight="1" s="90">
      <c r="A14" s="104" t="n"/>
      <c r="B14" s="2" t="n"/>
      <c r="C14" s="5" t="inlineStr">
        <is>
          <t>Net Total</t>
        </is>
      </c>
      <c r="D14" s="17" t="n"/>
      <c r="E14" s="105">
        <f>E12-E13</f>
        <v/>
      </c>
      <c r="F14" s="105" t="n"/>
      <c r="G14" s="105">
        <f>G12-G13</f>
        <v/>
      </c>
      <c r="H14" s="105" t="n"/>
    </row>
    <row r="15" ht="15.75" customHeight="1" s="90">
      <c r="A15" s="2" t="n"/>
      <c r="B15" s="2" t="n"/>
      <c r="C15" s="2" t="n"/>
      <c r="D15" s="2" t="n"/>
      <c r="E15" s="2" t="n"/>
      <c r="F15" s="2" t="n"/>
      <c r="G15" s="2" t="n"/>
    </row>
    <row r="16" ht="15.75" customHeight="1" s="90">
      <c r="A16" s="106" t="inlineStr">
        <is>
          <t>Assumptions</t>
        </is>
      </c>
      <c r="B16" s="107" t="n"/>
      <c r="C16" s="107" t="n"/>
      <c r="D16" s="107" t="n"/>
      <c r="E16" s="107" t="n"/>
      <c r="F16" s="108" t="n"/>
      <c r="G16" s="2" t="n"/>
    </row>
    <row r="17" ht="15.75" customHeight="1" s="90">
      <c r="A17" s="89" t="inlineStr">
        <is>
          <t>Allowance added for 15 dry ice enhancements in and around revival chamber</t>
        </is>
      </c>
      <c r="G17" s="2" t="n"/>
    </row>
    <row r="18" ht="36" customHeight="1" s="90">
      <c r="A18" s="89" t="n"/>
      <c r="G18" s="2" t="n"/>
    </row>
    <row r="19" ht="36" customHeight="1" s="90">
      <c r="A19" s="89" t="n"/>
      <c r="G19" s="2" t="n"/>
    </row>
    <row r="20" ht="36" customHeight="1" s="90">
      <c r="A20" s="89" t="n"/>
      <c r="G20" s="2" t="n"/>
    </row>
    <row r="21" ht="50.25" customHeight="1" s="90">
      <c r="A21" s="89" t="n"/>
      <c r="G21" s="2" t="n"/>
    </row>
    <row r="22" ht="36" customHeight="1" s="90">
      <c r="A22" s="89" t="n"/>
      <c r="G22" s="2" t="n"/>
    </row>
    <row r="23" ht="36" customHeight="1" s="90">
      <c r="A23" s="89" t="n"/>
      <c r="G23" s="2" t="n"/>
    </row>
    <row r="24" ht="36" customHeight="1" s="90">
      <c r="A24" s="89" t="n"/>
      <c r="G24" s="2" t="n"/>
    </row>
    <row r="25" ht="15.75" customHeight="1" s="90">
      <c r="A25" s="89" t="n"/>
      <c r="G25" s="2" t="n"/>
    </row>
    <row r="26" ht="36" customHeight="1" s="90">
      <c r="A26" s="89" t="n"/>
      <c r="G26" s="2" t="n"/>
    </row>
    <row r="27" ht="36" customHeight="1" s="90">
      <c r="A27" s="89" t="n"/>
      <c r="G27" s="2" t="n"/>
    </row>
    <row r="28" ht="36" customHeight="1" s="90">
      <c r="A28" s="89" t="n"/>
      <c r="G28" s="2" t="n"/>
    </row>
    <row r="29" ht="36" customHeight="1" s="90">
      <c r="A29" s="89" t="n"/>
      <c r="G29" s="2" t="n"/>
    </row>
    <row r="30" ht="36" customHeight="1" s="90">
      <c r="A30" s="89" t="n"/>
      <c r="G30" s="2" t="n"/>
    </row>
    <row r="31" ht="36" customHeight="1" s="90">
      <c r="A31" s="89" t="n"/>
      <c r="G31" s="2" t="n"/>
    </row>
    <row r="32" ht="36" customHeight="1" s="90">
      <c r="A32" s="89" t="n"/>
      <c r="G32" s="2" t="n"/>
    </row>
    <row r="33" ht="36" customHeight="1" s="90">
      <c r="A33" s="89" t="n"/>
      <c r="G33" s="2" t="n"/>
    </row>
    <row r="34" ht="36" customHeight="1" s="90">
      <c r="A34" s="89" t="n"/>
      <c r="G34" s="2" t="n"/>
    </row>
    <row r="35" ht="36" customHeight="1" s="90">
      <c r="A35" s="89" t="n"/>
      <c r="G35" s="2" t="n"/>
    </row>
    <row r="36" ht="36" customHeight="1" s="90">
      <c r="A36" s="89" t="n"/>
      <c r="G36" s="2" t="n"/>
    </row>
    <row r="37" ht="36" customHeight="1" s="90">
      <c r="A37" s="89" t="n"/>
      <c r="G37" s="2" t="n"/>
    </row>
    <row r="38" ht="36" customHeight="1" s="90">
      <c r="A38" s="89" t="n"/>
      <c r="G38" s="2" t="n"/>
    </row>
    <row r="39" ht="15.75" customHeight="1" s="90"/>
    <row r="40" ht="15.75" customHeight="1" s="90"/>
    <row r="41" ht="15.75" customHeight="1" s="90"/>
    <row r="42" ht="15.75" customHeight="1" s="90"/>
    <row r="43" ht="15.75" customHeight="1" s="90"/>
    <row r="44" ht="15.75" customHeight="1" s="90"/>
    <row r="45" ht="15.75" customHeight="1" s="90"/>
    <row r="46" ht="15.75" customHeight="1" s="90"/>
    <row r="47" ht="15.75" customHeight="1" s="90"/>
    <row r="48" ht="15.75" customHeight="1" s="90"/>
    <row r="49" ht="15.75" customHeight="1" s="90"/>
    <row r="50" ht="15.75" customHeight="1" s="90"/>
    <row r="51" ht="15.75" customHeight="1" s="90"/>
    <row r="52" ht="15.75" customHeight="1" s="90"/>
    <row r="53" ht="15.75" customHeight="1" s="90"/>
    <row r="54" ht="15.75" customHeight="1" s="90"/>
    <row r="55" ht="15.75" customHeight="1" s="90"/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autoFilter ref="A16:F38">
    <sortState ref="A16:F38">
      <sortCondition ref="A16:A38"/>
    </sortState>
  </autoFilter>
  <mergeCells count="26">
    <mergeCell ref="A16:F16"/>
    <mergeCell ref="A37:F37"/>
    <mergeCell ref="A27:F27"/>
    <mergeCell ref="A18:F18"/>
    <mergeCell ref="A1:H1"/>
    <mergeCell ref="A26:F26"/>
    <mergeCell ref="A21:F21"/>
    <mergeCell ref="A33:F33"/>
    <mergeCell ref="A23:F23"/>
    <mergeCell ref="A32:F32"/>
    <mergeCell ref="A22:F22"/>
    <mergeCell ref="A17:F17"/>
    <mergeCell ref="A35:F35"/>
    <mergeCell ref="G6:H6"/>
    <mergeCell ref="A20:F20"/>
    <mergeCell ref="A29:F29"/>
    <mergeCell ref="A38:F38"/>
    <mergeCell ref="E6:F6"/>
    <mergeCell ref="A28:F28"/>
    <mergeCell ref="A19:F19"/>
    <mergeCell ref="A31:F31"/>
    <mergeCell ref="A34:F34"/>
    <mergeCell ref="A30:F30"/>
    <mergeCell ref="A24:F24"/>
    <mergeCell ref="A36:F36"/>
    <mergeCell ref="A25:F25"/>
  </mergeCells>
  <conditionalFormatting sqref="A17:F38">
    <cfRule type="expression" priority="1" dxfId="29">
      <formula>IF($A17="","",ISEVEN(ROW()))</formula>
    </cfRule>
  </conditionalFormatting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55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2.6640625" defaultRowHeight="15" customHeight="1"/>
  <cols>
    <col width="24.1640625" customWidth="1" style="90" min="1" max="1"/>
    <col width="12.6640625" customWidth="1" style="90" min="2" max="2"/>
    <col width="16.83203125" customWidth="1" style="90" min="3" max="3"/>
    <col width="15.5" customWidth="1" style="90" min="4" max="4"/>
    <col width="17.1640625" customWidth="1" style="90" min="5" max="5"/>
    <col width="12.6640625" customWidth="1" style="90" min="6" max="6"/>
  </cols>
  <sheetData>
    <row r="1" ht="15.75" customHeight="1" s="90">
      <c r="A1" s="19" t="inlineStr">
        <is>
          <t>PROJECT TITLE</t>
        </is>
      </c>
      <c r="B1" s="5" t="n"/>
      <c r="C1" s="5" t="n"/>
      <c r="D1" s="5" t="n"/>
      <c r="E1" s="5" t="n"/>
    </row>
    <row r="2" ht="15.75" customHeight="1" s="90">
      <c r="A2" s="20" t="inlineStr">
        <is>
          <t>SEQUENCE BREAKDOWN</t>
        </is>
      </c>
      <c r="B2" s="5" t="n"/>
      <c r="C2" s="5" t="n"/>
      <c r="D2" s="5" t="n"/>
      <c r="E2" s="5" t="n"/>
    </row>
    <row r="3" ht="15.75" customHeight="1" s="90">
      <c r="A3" s="11" t="inlineStr">
        <is>
          <t>Total Sequences</t>
        </is>
      </c>
      <c r="B3" s="11" t="inlineStr">
        <is>
          <t>Total Pages</t>
        </is>
      </c>
      <c r="C3" s="11" t="inlineStr">
        <is>
          <t>Total Shots</t>
        </is>
      </c>
      <c r="D3" s="11" t="inlineStr">
        <is>
          <t>Total Cost</t>
        </is>
      </c>
      <c r="E3" s="11" t="inlineStr">
        <is>
          <t>Total Avg. Shot Cost</t>
        </is>
      </c>
    </row>
    <row r="4" ht="15.75" customHeight="1" s="90">
      <c r="A4" s="21" t="n">
        <v>2</v>
      </c>
      <c r="B4" s="109" t="n">
        <v>102</v>
      </c>
      <c r="C4" s="21" t="n">
        <v>369</v>
      </c>
      <c r="D4" s="105" t="n"/>
      <c r="E4" s="105" t="n"/>
    </row>
    <row r="5" ht="15.75" customHeight="1" s="90">
      <c r="A5" s="23" t="inlineStr">
        <is>
          <t>Sequence Name</t>
        </is>
      </c>
      <c r="B5" s="23" t="inlineStr">
        <is>
          <t>Page Count</t>
        </is>
      </c>
      <c r="C5" s="23" t="inlineStr">
        <is>
          <t>Number of Shots</t>
        </is>
      </c>
      <c r="D5" s="23" t="inlineStr">
        <is>
          <t>Sequence Cost</t>
        </is>
      </c>
      <c r="E5" s="23" t="inlineStr">
        <is>
          <t>Avg. Shot Cost</t>
        </is>
      </c>
    </row>
    <row r="6" ht="15.75" customHeight="1" s="90">
      <c r="A6" s="2" t="inlineStr"/>
      <c r="B6" s="110" t="n">
        <v>102</v>
      </c>
      <c r="C6" s="25" t="n">
        <v>154</v>
      </c>
      <c r="D6" s="111" t="n"/>
      <c r="E6" s="111" t="n"/>
    </row>
    <row r="7" ht="15.75" customHeight="1" s="90">
      <c r="A7" s="2" t="inlineStr">
        <is>
          <t>ALLOWANCE</t>
        </is>
      </c>
      <c r="B7" s="110" t="n"/>
      <c r="C7" s="25" t="n">
        <v>215</v>
      </c>
      <c r="D7" s="111" t="n"/>
      <c r="E7" s="111" t="n"/>
    </row>
    <row r="8" ht="15.75" customHeight="1" s="90">
      <c r="A8" s="2" t="n"/>
      <c r="B8" s="110" t="n"/>
      <c r="C8" s="25" t="n"/>
      <c r="D8" s="111" t="inlineStr">
        <is>
          <t>  </t>
        </is>
      </c>
      <c r="E8" s="111" t="inlineStr">
        <is>
          <t>  </t>
        </is>
      </c>
    </row>
    <row r="9" ht="15.75" customHeight="1" s="90">
      <c r="A9" s="2" t="n"/>
      <c r="B9" s="110" t="n"/>
      <c r="C9" s="25" t="n"/>
      <c r="D9" s="111" t="inlineStr">
        <is>
          <t>  </t>
        </is>
      </c>
      <c r="E9" s="111" t="inlineStr">
        <is>
          <t>  </t>
        </is>
      </c>
    </row>
    <row r="10" ht="15.75" customHeight="1" s="90">
      <c r="A10" s="2" t="n"/>
      <c r="B10" s="110" t="n"/>
      <c r="C10" s="25" t="n"/>
      <c r="D10" s="111" t="inlineStr">
        <is>
          <t>  </t>
        </is>
      </c>
      <c r="E10" s="111" t="inlineStr">
        <is>
          <t>  </t>
        </is>
      </c>
    </row>
    <row r="11" ht="15.75" customHeight="1" s="90">
      <c r="A11" s="2" t="n"/>
      <c r="B11" s="110" t="n"/>
      <c r="C11" s="25" t="n"/>
      <c r="D11" s="111" t="inlineStr">
        <is>
          <t>  </t>
        </is>
      </c>
      <c r="E11" s="111" t="inlineStr">
        <is>
          <t>  </t>
        </is>
      </c>
    </row>
    <row r="12" ht="15.75" customHeight="1" s="90">
      <c r="A12" s="2" t="n"/>
      <c r="B12" s="110" t="n"/>
      <c r="C12" s="25" t="n"/>
      <c r="D12" s="111" t="inlineStr">
        <is>
          <t>  </t>
        </is>
      </c>
      <c r="E12" s="111" t="inlineStr">
        <is>
          <t>  </t>
        </is>
      </c>
    </row>
    <row r="13" ht="15.75" customHeight="1" s="90">
      <c r="A13" s="2" t="n"/>
      <c r="B13" s="110" t="n"/>
      <c r="C13" s="25" t="n"/>
      <c r="D13" s="111" t="inlineStr">
        <is>
          <t>  </t>
        </is>
      </c>
      <c r="E13" s="111" t="inlineStr">
        <is>
          <t>  </t>
        </is>
      </c>
    </row>
    <row r="14" ht="15.75" customHeight="1" s="90">
      <c r="A14" s="2" t="n"/>
      <c r="B14" s="110" t="n"/>
      <c r="C14" s="25" t="n"/>
      <c r="D14" s="111" t="inlineStr">
        <is>
          <t>  </t>
        </is>
      </c>
      <c r="E14" s="111" t="inlineStr">
        <is>
          <t>  </t>
        </is>
      </c>
    </row>
    <row r="15" ht="15.75" customHeight="1" s="90">
      <c r="A15" s="2" t="n"/>
      <c r="B15" s="110" t="n"/>
      <c r="C15" s="25" t="n"/>
      <c r="D15" s="111" t="inlineStr">
        <is>
          <t>  </t>
        </is>
      </c>
      <c r="E15" s="111" t="inlineStr">
        <is>
          <t>  </t>
        </is>
      </c>
    </row>
    <row r="16" ht="15.75" customHeight="1" s="90">
      <c r="A16" s="2" t="n"/>
      <c r="B16" s="110" t="n"/>
      <c r="C16" s="25" t="n"/>
      <c r="D16" s="111" t="inlineStr">
        <is>
          <t>  </t>
        </is>
      </c>
      <c r="E16" s="111" t="inlineStr">
        <is>
          <t>  </t>
        </is>
      </c>
    </row>
    <row r="17" ht="15.75" customHeight="1" s="90">
      <c r="A17" s="2" t="n"/>
      <c r="B17" s="110" t="n"/>
      <c r="C17" s="25" t="n"/>
      <c r="D17" s="111" t="inlineStr">
        <is>
          <t>  </t>
        </is>
      </c>
      <c r="E17" s="111" t="inlineStr">
        <is>
          <t>  </t>
        </is>
      </c>
    </row>
    <row r="18" ht="15.75" customHeight="1" s="90">
      <c r="A18" s="2" t="n"/>
      <c r="B18" s="110" t="n"/>
      <c r="C18" s="25" t="n"/>
      <c r="D18" s="111" t="inlineStr">
        <is>
          <t>  </t>
        </is>
      </c>
      <c r="E18" s="111" t="inlineStr">
        <is>
          <t>  </t>
        </is>
      </c>
    </row>
    <row r="19" ht="15.75" customHeight="1" s="90">
      <c r="A19" s="2" t="n"/>
      <c r="B19" s="110" t="n"/>
      <c r="C19" s="25" t="n"/>
      <c r="D19" s="111" t="inlineStr">
        <is>
          <t>  </t>
        </is>
      </c>
      <c r="E19" s="111" t="inlineStr">
        <is>
          <t>  </t>
        </is>
      </c>
    </row>
    <row r="20" ht="15.75" customHeight="1" s="90">
      <c r="A20" s="2" t="n"/>
      <c r="B20" s="110" t="n"/>
      <c r="C20" s="25" t="n"/>
      <c r="D20" s="111" t="inlineStr">
        <is>
          <t>  </t>
        </is>
      </c>
      <c r="E20" s="111" t="inlineStr">
        <is>
          <t>  </t>
        </is>
      </c>
    </row>
    <row r="21" ht="15.75" customHeight="1" s="90">
      <c r="A21" s="2" t="n"/>
      <c r="B21" s="110" t="n"/>
      <c r="C21" s="25" t="n"/>
      <c r="D21" s="111" t="inlineStr">
        <is>
          <t>  </t>
        </is>
      </c>
      <c r="E21" s="111" t="inlineStr">
        <is>
          <t>  </t>
        </is>
      </c>
    </row>
    <row r="22" ht="15.75" customHeight="1" s="90">
      <c r="A22" s="2" t="n"/>
      <c r="B22" s="110" t="n"/>
      <c r="C22" s="25" t="n"/>
      <c r="D22" s="111" t="inlineStr">
        <is>
          <t>  </t>
        </is>
      </c>
      <c r="E22" s="111" t="inlineStr">
        <is>
          <t>  </t>
        </is>
      </c>
    </row>
    <row r="23" ht="15.75" customHeight="1" s="90">
      <c r="A23" s="2" t="n"/>
      <c r="B23" s="110" t="n"/>
      <c r="C23" s="25" t="n"/>
      <c r="D23" s="111" t="inlineStr">
        <is>
          <t>  </t>
        </is>
      </c>
      <c r="E23" s="111" t="inlineStr">
        <is>
          <t>  </t>
        </is>
      </c>
    </row>
    <row r="24" ht="15.75" customHeight="1" s="90">
      <c r="A24" s="2" t="n"/>
      <c r="B24" s="110" t="n"/>
      <c r="C24" s="25" t="n"/>
      <c r="D24" s="111" t="inlineStr">
        <is>
          <t>  </t>
        </is>
      </c>
      <c r="E24" s="111" t="inlineStr">
        <is>
          <t>  </t>
        </is>
      </c>
    </row>
    <row r="25" ht="15.75" customHeight="1" s="90">
      <c r="A25" s="2" t="n"/>
      <c r="B25" s="110" t="n"/>
      <c r="C25" s="25" t="n"/>
      <c r="D25" s="111" t="inlineStr">
        <is>
          <t>  </t>
        </is>
      </c>
      <c r="E25" s="111" t="inlineStr">
        <is>
          <t>  </t>
        </is>
      </c>
    </row>
    <row r="26" ht="15.75" customHeight="1" s="90">
      <c r="A26" s="2" t="n"/>
      <c r="B26" s="110" t="n"/>
      <c r="C26" s="25" t="n"/>
      <c r="D26" s="111" t="inlineStr">
        <is>
          <t>  </t>
        </is>
      </c>
      <c r="E26" s="111" t="inlineStr">
        <is>
          <t>  </t>
        </is>
      </c>
    </row>
    <row r="27" ht="15.75" customHeight="1" s="90">
      <c r="A27" s="2" t="n"/>
      <c r="B27" s="110" t="n"/>
      <c r="C27" s="25" t="n"/>
      <c r="D27" s="111" t="inlineStr">
        <is>
          <t>  </t>
        </is>
      </c>
      <c r="E27" s="112" t="inlineStr">
        <is>
          <t>  </t>
        </is>
      </c>
    </row>
    <row r="28" ht="15.75" customHeight="1" s="90">
      <c r="A28" s="2" t="n"/>
      <c r="B28" s="110" t="n"/>
      <c r="C28" s="25" t="n"/>
      <c r="D28" s="111" t="inlineStr">
        <is>
          <t>  </t>
        </is>
      </c>
      <c r="E28" s="112" t="inlineStr">
        <is>
          <t>  </t>
        </is>
      </c>
    </row>
    <row r="29" ht="15.75" customHeight="1" s="90">
      <c r="A29" s="2" t="n"/>
      <c r="B29" s="110" t="n"/>
      <c r="C29" s="25" t="n"/>
      <c r="D29" s="111" t="inlineStr">
        <is>
          <t>  </t>
        </is>
      </c>
      <c r="E29" s="112" t="inlineStr">
        <is>
          <t>  </t>
        </is>
      </c>
    </row>
    <row r="30" ht="15.75" customHeight="1" s="90">
      <c r="A30" s="2" t="n"/>
      <c r="B30" s="110" t="n"/>
      <c r="C30" s="25" t="n"/>
      <c r="D30" s="111" t="inlineStr">
        <is>
          <t>  </t>
        </is>
      </c>
      <c r="E30" s="112" t="inlineStr">
        <is>
          <t>  </t>
        </is>
      </c>
    </row>
    <row r="31" ht="15.75" customHeight="1" s="90">
      <c r="A31" s="2" t="n"/>
      <c r="B31" s="110" t="n"/>
      <c r="C31" s="25" t="n"/>
      <c r="D31" s="111" t="inlineStr">
        <is>
          <t>  </t>
        </is>
      </c>
      <c r="E31" s="112" t="inlineStr">
        <is>
          <t>  </t>
        </is>
      </c>
    </row>
    <row r="32" ht="15.75" customHeight="1" s="90">
      <c r="A32" s="2" t="n"/>
      <c r="B32" s="110" t="n"/>
      <c r="C32" s="25" t="n"/>
      <c r="D32" s="111" t="inlineStr">
        <is>
          <t>  </t>
        </is>
      </c>
      <c r="E32" s="112" t="inlineStr">
        <is>
          <t>  </t>
        </is>
      </c>
    </row>
    <row r="33" ht="15.75" customHeight="1" s="90">
      <c r="A33" s="2" t="n"/>
      <c r="B33" s="110" t="n"/>
      <c r="C33" s="25" t="n"/>
      <c r="D33" s="111" t="inlineStr">
        <is>
          <t>  </t>
        </is>
      </c>
      <c r="E33" s="112" t="inlineStr">
        <is>
          <t>  </t>
        </is>
      </c>
    </row>
    <row r="34" ht="15.75" customHeight="1" s="90">
      <c r="A34" s="2" t="n"/>
      <c r="B34" s="110" t="n"/>
      <c r="C34" s="25" t="n"/>
      <c r="D34" s="111" t="inlineStr">
        <is>
          <t>  </t>
        </is>
      </c>
      <c r="E34" s="112" t="inlineStr">
        <is>
          <t>  </t>
        </is>
      </c>
    </row>
    <row r="35" ht="15.75" customHeight="1" s="90">
      <c r="A35" s="2" t="n"/>
      <c r="B35" s="110" t="n"/>
      <c r="C35" s="25" t="n"/>
      <c r="D35" s="111" t="inlineStr">
        <is>
          <t>  </t>
        </is>
      </c>
      <c r="E35" s="112" t="inlineStr">
        <is>
          <t>  </t>
        </is>
      </c>
    </row>
    <row r="36" ht="15.75" customHeight="1" s="90">
      <c r="A36" s="2" t="n"/>
      <c r="B36" s="110" t="n"/>
      <c r="C36" s="25" t="n"/>
      <c r="D36" s="111" t="inlineStr">
        <is>
          <t>  </t>
        </is>
      </c>
      <c r="E36" s="112" t="inlineStr">
        <is>
          <t>  </t>
        </is>
      </c>
    </row>
    <row r="37" ht="15.75" customHeight="1" s="90">
      <c r="A37" s="2" t="n"/>
      <c r="B37" s="110" t="n"/>
      <c r="C37" s="25" t="n"/>
      <c r="D37" s="111" t="inlineStr">
        <is>
          <t>  </t>
        </is>
      </c>
      <c r="E37" s="112" t="inlineStr">
        <is>
          <t>  </t>
        </is>
      </c>
    </row>
    <row r="38" ht="15.75" customHeight="1" s="90">
      <c r="A38" s="2" t="n"/>
      <c r="B38" s="110" t="n"/>
      <c r="C38" s="25" t="n"/>
      <c r="D38" s="111" t="inlineStr">
        <is>
          <t>  </t>
        </is>
      </c>
      <c r="E38" s="112" t="inlineStr">
        <is>
          <t>  </t>
        </is>
      </c>
    </row>
    <row r="39" ht="15.75" customHeight="1" s="90">
      <c r="A39" s="2" t="n"/>
      <c r="B39" s="110" t="n"/>
      <c r="C39" s="25" t="n"/>
      <c r="D39" s="111" t="inlineStr">
        <is>
          <t>  </t>
        </is>
      </c>
      <c r="E39" s="112" t="inlineStr">
        <is>
          <t>  </t>
        </is>
      </c>
    </row>
    <row r="40" ht="15.75" customHeight="1" s="90">
      <c r="A40" s="2" t="n"/>
      <c r="B40" s="110" t="n"/>
      <c r="C40" s="25" t="n"/>
      <c r="D40" s="111" t="inlineStr">
        <is>
          <t>  </t>
        </is>
      </c>
      <c r="E40" s="112" t="inlineStr">
        <is>
          <t>  </t>
        </is>
      </c>
    </row>
    <row r="41" ht="15.75" customHeight="1" s="90">
      <c r="A41" s="2" t="n"/>
      <c r="B41" s="110" t="n"/>
      <c r="C41" s="25" t="n"/>
      <c r="D41" s="111" t="inlineStr">
        <is>
          <t>  </t>
        </is>
      </c>
      <c r="E41" s="112" t="inlineStr">
        <is>
          <t>  </t>
        </is>
      </c>
    </row>
    <row r="42" ht="15.75" customHeight="1" s="90">
      <c r="A42" s="2" t="n"/>
      <c r="B42" s="110" t="n"/>
      <c r="C42" s="25" t="n"/>
      <c r="D42" s="111" t="inlineStr">
        <is>
          <t>  </t>
        </is>
      </c>
      <c r="E42" s="112" t="inlineStr">
        <is>
          <t>  </t>
        </is>
      </c>
    </row>
    <row r="43" ht="15.75" customHeight="1" s="90">
      <c r="A43" s="2" t="n"/>
      <c r="B43" s="110" t="n"/>
      <c r="C43" s="25" t="n"/>
      <c r="D43" s="111" t="inlineStr">
        <is>
          <t>  </t>
        </is>
      </c>
      <c r="E43" s="112" t="inlineStr">
        <is>
          <t>  </t>
        </is>
      </c>
    </row>
    <row r="44" ht="15.75" customHeight="1" s="90">
      <c r="A44" s="2" t="n"/>
      <c r="B44" s="110" t="n"/>
      <c r="C44" s="25" t="n"/>
      <c r="D44" s="111" t="inlineStr">
        <is>
          <t>  </t>
        </is>
      </c>
      <c r="E44" s="112" t="inlineStr">
        <is>
          <t>  </t>
        </is>
      </c>
    </row>
    <row r="45" ht="15.75" customHeight="1" s="90">
      <c r="A45" s="2" t="n"/>
      <c r="B45" s="110" t="n"/>
      <c r="C45" s="25" t="n"/>
      <c r="D45" s="111" t="inlineStr">
        <is>
          <t>  </t>
        </is>
      </c>
      <c r="E45" s="112" t="inlineStr">
        <is>
          <t>  </t>
        </is>
      </c>
    </row>
    <row r="46" ht="15.75" customHeight="1" s="90">
      <c r="A46" s="2" t="n"/>
      <c r="B46" s="110" t="n"/>
      <c r="C46" s="25" t="n"/>
      <c r="D46" s="111" t="inlineStr">
        <is>
          <t>  </t>
        </is>
      </c>
      <c r="E46" s="112" t="inlineStr">
        <is>
          <t>  </t>
        </is>
      </c>
    </row>
    <row r="47" ht="15.75" customHeight="1" s="90">
      <c r="A47" s="2" t="n"/>
      <c r="B47" s="110" t="n"/>
      <c r="C47" s="25" t="n"/>
      <c r="D47" s="111" t="inlineStr">
        <is>
          <t>  </t>
        </is>
      </c>
      <c r="E47" s="112" t="inlineStr">
        <is>
          <t>  </t>
        </is>
      </c>
    </row>
    <row r="48" ht="15.75" customHeight="1" s="90">
      <c r="A48" s="2" t="n"/>
      <c r="B48" s="110" t="n"/>
      <c r="C48" s="25" t="n"/>
      <c r="D48" s="111" t="inlineStr">
        <is>
          <t>  </t>
        </is>
      </c>
      <c r="E48" s="112" t="inlineStr">
        <is>
          <t>  </t>
        </is>
      </c>
    </row>
    <row r="49" ht="15.75" customHeight="1" s="90">
      <c r="A49" s="2" t="n"/>
      <c r="B49" s="110" t="n"/>
      <c r="C49" s="25" t="n"/>
      <c r="D49" s="111" t="inlineStr">
        <is>
          <t>  </t>
        </is>
      </c>
      <c r="E49" s="112" t="inlineStr">
        <is>
          <t>  </t>
        </is>
      </c>
    </row>
    <row r="50" ht="15.75" customHeight="1" s="90">
      <c r="A50" s="2" t="n"/>
      <c r="B50" s="110" t="n"/>
      <c r="C50" s="25" t="n"/>
      <c r="D50" s="111" t="inlineStr">
        <is>
          <t>  </t>
        </is>
      </c>
      <c r="E50" s="112" t="inlineStr">
        <is>
          <t>  </t>
        </is>
      </c>
    </row>
    <row r="51" ht="15.75" customHeight="1" s="90">
      <c r="A51" s="2" t="n"/>
      <c r="B51" s="110" t="n"/>
      <c r="C51" s="25" t="n"/>
      <c r="D51" s="111" t="n"/>
      <c r="E51" s="112" t="inlineStr">
        <is>
          <t>  </t>
        </is>
      </c>
    </row>
    <row r="52" ht="15.75" customHeight="1" s="90">
      <c r="A52" s="2" t="n"/>
      <c r="B52" s="110" t="n"/>
      <c r="C52" s="25" t="n"/>
      <c r="D52" s="111" t="n"/>
      <c r="E52" s="112" t="inlineStr">
        <is>
          <t>  </t>
        </is>
      </c>
    </row>
    <row r="53" ht="15.75" customHeight="1" s="90">
      <c r="A53" s="2" t="n"/>
      <c r="B53" s="110" t="n"/>
      <c r="C53" s="25" t="n"/>
      <c r="D53" s="111" t="n"/>
      <c r="E53" s="112" t="inlineStr">
        <is>
          <t>  </t>
        </is>
      </c>
    </row>
    <row r="54" ht="15.75" customHeight="1" s="90">
      <c r="A54" s="2" t="n"/>
      <c r="B54" s="110" t="n"/>
      <c r="C54" s="25" t="n"/>
      <c r="D54" s="111" t="n"/>
      <c r="E54" s="112" t="inlineStr">
        <is>
          <t>  </t>
        </is>
      </c>
    </row>
    <row r="55" ht="15.75" customHeight="1" s="90">
      <c r="A55" s="2" t="n"/>
      <c r="B55" s="110" t="n"/>
      <c r="C55" s="25" t="n"/>
      <c r="D55" s="111" t="n"/>
      <c r="E55" s="112" t="n"/>
    </row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autoFilter ref="A5:E54"/>
  <conditionalFormatting sqref="A1">
    <cfRule type="expression" priority="1" dxfId="12">
      <formula>IF(#REF!="VFX TBD",TRUE)</formula>
    </cfRule>
    <cfRule type="expression" priority="2" dxfId="9">
      <formula>IF(#REF!="No VFX",TRUE)</formula>
    </cfRule>
    <cfRule type="expression" priority="3" dxfId="8">
      <formula>IF(#REF!="ALLOWANCE",TRUE)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S5"/>
  <sheetViews>
    <sheetView zoomScale="90" zoomScaleNormal="90" workbookViewId="0">
      <pane xSplit="5" ySplit="5" topLeftCell="J6" activePane="bottomRight" state="frozen"/>
      <selection pane="topRight" activeCell="F1" sqref="F1"/>
      <selection pane="bottomLeft" activeCell="A6" sqref="A6"/>
      <selection pane="bottomRight" activeCell="R2" sqref="R2"/>
    </sheetView>
  </sheetViews>
  <sheetFormatPr baseColWidth="10" defaultColWidth="12.6640625" defaultRowHeight="13"/>
  <cols>
    <col hidden="1" width="8.5" customWidth="1" style="90" min="1" max="1"/>
    <col width="7.5" customWidth="1" style="90" min="2" max="3"/>
    <col width="5.6640625" customWidth="1" style="90" min="4" max="4"/>
    <col width="15.1640625" customWidth="1" style="90" min="5" max="5"/>
    <col width="9.1640625" customWidth="1" style="90" min="6" max="6"/>
    <col width="18.1640625" customWidth="1" style="90" min="7" max="7"/>
    <col width="12.1640625" customWidth="1" style="90" min="8" max="8"/>
    <col width="14.33203125" customWidth="1" style="90" min="9" max="9"/>
    <col width="31.83203125" customWidth="1" style="90" min="10" max="10"/>
    <col width="35" customWidth="1" style="90" min="11" max="11"/>
    <col width="32.33203125" customWidth="1" style="90" min="12" max="12"/>
    <col width="6.6640625" customWidth="1" style="90" min="13" max="13"/>
    <col width="9.1640625" customWidth="1" style="90" min="14" max="14"/>
    <col width="16.1640625" customWidth="1" style="90" min="15" max="16"/>
    <col width="22.33203125" customWidth="1" style="90" min="17" max="17"/>
    <col width="16.1640625" customWidth="1" style="90" min="18" max="19"/>
  </cols>
  <sheetData>
    <row r="1" ht="42" customHeight="1" s="90">
      <c r="A1" s="19" t="inlineStr">
        <is>
          <t>PROJECT TITLE</t>
        </is>
      </c>
      <c r="B1" s="19" t="n"/>
      <c r="C1" s="19" t="n"/>
      <c r="D1" s="28" t="n"/>
      <c r="E1" s="29" t="n"/>
      <c r="F1" s="30" t="n"/>
      <c r="G1" s="30" t="n"/>
      <c r="H1" s="31" t="n"/>
      <c r="I1" s="32" t="n"/>
      <c r="J1" s="32" t="n"/>
      <c r="K1" s="32" t="n"/>
      <c r="L1" s="32" t="n"/>
      <c r="M1" s="33" t="n"/>
      <c r="N1" s="34" t="inlineStr">
        <is>
          <t>Shots</t>
        </is>
      </c>
      <c r="O1" s="113" t="inlineStr">
        <is>
          <t xml:space="preserve"> Average Shot Cost </t>
        </is>
      </c>
      <c r="P1" s="113" t="inlineStr">
        <is>
          <t xml:space="preserve"> Total Shot Cost </t>
        </is>
      </c>
      <c r="Q1" s="36" t="n"/>
      <c r="R1" s="114" t="inlineStr">
        <is>
          <t xml:space="preserve"> Average Shot Cost (Hyrbid AI Approach)</t>
        </is>
      </c>
      <c r="S1" s="114" t="inlineStr">
        <is>
          <t xml:space="preserve"> Total Shot Cost (Hybrid AI Approach)</t>
        </is>
      </c>
    </row>
    <row r="2" ht="23" customHeight="1" s="90">
      <c r="A2" s="37" t="inlineStr">
        <is>
          <t>SHOTS BREAKDOWN</t>
        </is>
      </c>
      <c r="B2" s="37" t="n"/>
      <c r="C2" s="28" t="n"/>
      <c r="D2" s="28" t="n"/>
      <c r="E2" s="30" t="n"/>
      <c r="F2" s="30" t="n"/>
      <c r="G2" s="30" t="n"/>
      <c r="H2" s="31" t="n"/>
      <c r="I2" s="32" t="n"/>
      <c r="J2" s="32" t="n"/>
      <c r="K2" s="38" t="n">
        <v>1</v>
      </c>
      <c r="L2" s="31" t="n"/>
      <c r="M2" s="39" t="inlineStr">
        <is>
          <t>VFX Shots</t>
        </is>
      </c>
      <c r="N2" s="40">
        <f>SUM(N6:N1742)</f>
        <v/>
      </c>
      <c r="O2" s="115">
        <f>AVERAGE(O6:O1742)</f>
        <v/>
      </c>
      <c r="P2" s="116">
        <f>SUM(P6:P1742)</f>
        <v/>
      </c>
      <c r="Q2" s="36" t="n"/>
      <c r="R2" s="115">
        <f>AVERAGE(R6:R1742)</f>
        <v/>
      </c>
      <c r="S2" s="116">
        <f>SUM(S6:S1742)</f>
        <v/>
      </c>
    </row>
    <row r="3">
      <c r="A3" s="37" t="n"/>
      <c r="B3" s="37" t="n"/>
      <c r="C3" s="37" t="n"/>
      <c r="D3" s="37" t="n"/>
      <c r="E3" s="43" t="n"/>
      <c r="F3" s="43" t="n"/>
      <c r="G3" s="43" t="n"/>
      <c r="H3" s="31" t="n"/>
      <c r="I3" s="32" t="n"/>
      <c r="J3" s="32" t="n"/>
      <c r="K3" s="32" t="n"/>
      <c r="L3" s="31" t="n"/>
      <c r="M3" s="39" t="inlineStr">
        <is>
          <t>VFX Allowance</t>
        </is>
      </c>
      <c r="N3" s="15" t="n">
        <v>215</v>
      </c>
      <c r="O3" s="115">
        <f>AVERAGE(O1743:O1748)</f>
        <v/>
      </c>
      <c r="P3" s="115">
        <f>SUM(P1743:P1748)</f>
        <v/>
      </c>
      <c r="Q3" s="36" t="n"/>
      <c r="R3" s="115">
        <f>AVERAGE(R1743:R1748)</f>
        <v/>
      </c>
      <c r="S3" s="115">
        <f>SUM(S1743:S1748)</f>
        <v/>
      </c>
    </row>
    <row r="4">
      <c r="A4" s="44" t="n"/>
      <c r="B4" s="44" t="n"/>
      <c r="C4" s="44" t="n"/>
      <c r="D4" s="33" t="n"/>
      <c r="E4" s="45" t="n"/>
      <c r="F4" s="31" t="n"/>
      <c r="G4" s="31" t="n"/>
      <c r="H4" s="31" t="n"/>
      <c r="I4" s="31" t="n"/>
      <c r="J4" s="32" t="n"/>
      <c r="K4" s="31" t="n"/>
      <c r="L4" s="31" t="n"/>
      <c r="M4" s="39" t="inlineStr">
        <is>
          <t>TOTAL</t>
        </is>
      </c>
      <c r="N4" s="15" t="n">
        <v>369</v>
      </c>
      <c r="O4" s="115" t="n"/>
      <c r="P4" s="117">
        <f>P2+P3</f>
        <v/>
      </c>
      <c r="Q4" s="36" t="n"/>
      <c r="R4" s="115" t="n"/>
      <c r="S4" s="117">
        <f>S2+S3</f>
        <v/>
      </c>
    </row>
    <row r="5" ht="28" customHeight="1" s="90">
      <c r="A5" s="47" t="inlineStr">
        <is>
          <t>UUID</t>
        </is>
      </c>
      <c r="B5" s="47" t="inlineStr">
        <is>
          <t>Item</t>
        </is>
      </c>
      <c r="C5" s="47" t="inlineStr">
        <is>
          <t>Page</t>
        </is>
      </c>
      <c r="D5" s="23" t="inlineStr">
        <is>
          <t>Scene</t>
        </is>
      </c>
      <c r="E5" s="48" t="inlineStr">
        <is>
          <t>Sequence</t>
        </is>
      </c>
      <c r="F5" s="49" t="inlineStr">
        <is>
          <t>I/E</t>
        </is>
      </c>
      <c r="G5" s="49" t="inlineStr">
        <is>
          <t>Location</t>
        </is>
      </c>
      <c r="H5" s="49" t="inlineStr">
        <is>
          <t>TOD</t>
        </is>
      </c>
      <c r="I5" s="49" t="inlineStr">
        <is>
          <t>Character</t>
        </is>
      </c>
      <c r="J5" s="49" t="inlineStr">
        <is>
          <t>Script Line</t>
        </is>
      </c>
      <c r="K5" s="49" t="inlineStr">
        <is>
          <t>Notes</t>
        </is>
      </c>
      <c r="L5" s="49" t="inlineStr">
        <is>
          <t>Scope Of Work</t>
        </is>
      </c>
      <c r="M5" s="23" t="inlineStr">
        <is>
          <t>LOD</t>
        </is>
      </c>
      <c r="N5" s="50" t="inlineStr">
        <is>
          <t>SHOTS</t>
        </is>
      </c>
      <c r="O5" s="118" t="inlineStr">
        <is>
          <t xml:space="preserve"> COST PER SHOT </t>
        </is>
      </c>
      <c r="P5" s="118" t="inlineStr">
        <is>
          <t xml:space="preserve"> TOTAL COST </t>
        </is>
      </c>
      <c r="Q5" s="49" t="inlineStr">
        <is>
          <t>Image / Reference</t>
        </is>
      </c>
      <c r="R5" s="119" t="inlineStr">
        <is>
          <t>HYBRID AI COST/SHOT</t>
        </is>
      </c>
      <c r="S5" s="118" t="inlineStr">
        <is>
          <t xml:space="preserve"> TOTAL COST </t>
        </is>
      </c>
    </row>
    <row r="6" ht="14" customHeight="1" s="90"/>
    <row r="7" ht="28" customHeight="1" s="90"/>
    <row r="8" ht="56" customHeight="1" s="90"/>
    <row r="9" ht="42" customHeight="1" s="90"/>
    <row r="10" ht="70" customHeight="1" s="90"/>
    <row r="11" ht="42" customHeight="1" s="90"/>
    <row r="12" ht="56" customHeight="1" s="90"/>
    <row r="13" ht="28" customHeight="1" s="90"/>
    <row r="14" ht="28" customHeight="1" s="90"/>
    <row r="15" ht="28" customHeight="1" s="90"/>
    <row r="16" ht="28" customHeight="1" s="90"/>
    <row r="17" ht="56" customHeight="1" s="90"/>
    <row r="18" ht="28" customHeight="1" s="90"/>
    <row r="19" ht="42" customHeight="1" s="90"/>
    <row r="20" ht="28" customHeight="1" s="90"/>
    <row r="21" ht="28" customHeight="1" s="90"/>
    <row r="22" ht="28" customHeight="1" s="90"/>
    <row r="23" ht="28" customHeight="1" s="90"/>
    <row r="24" ht="28" customHeight="1" s="90"/>
    <row r="25" ht="28" customHeight="1" s="90"/>
    <row r="26" ht="14" customHeight="1" s="90"/>
    <row r="27" ht="14" customHeight="1" s="90"/>
    <row r="28" ht="28" customHeight="1" s="90"/>
    <row r="29" ht="28" customHeight="1" s="90"/>
    <row r="30" ht="14" customHeight="1" s="90"/>
    <row r="31" ht="14" customHeight="1" s="90"/>
    <row r="32" ht="14" customHeight="1" s="90"/>
    <row r="33" ht="28" customHeight="1" s="90"/>
    <row r="34" ht="14" customHeight="1" s="90"/>
    <row r="35" ht="70" customHeight="1" s="90"/>
    <row r="36" ht="42" customHeight="1" s="90"/>
    <row r="37" ht="14" customHeight="1" s="90"/>
    <row r="38" ht="28" customHeight="1" s="90"/>
    <row r="39" ht="42" customHeight="1" s="90"/>
    <row r="40" ht="56" customHeight="1" s="90"/>
    <row r="41" ht="14" customHeight="1" s="90"/>
    <row r="42" ht="42" customHeight="1" s="90"/>
    <row r="43" ht="28" customHeight="1" s="90"/>
    <row r="44" ht="28" customHeight="1" s="90"/>
    <row r="45" ht="14" customHeight="1" s="90"/>
    <row r="46" ht="56" customHeight="1" s="90"/>
    <row r="47" ht="14" customHeight="1" s="90"/>
    <row r="48" ht="28" customHeight="1" s="90"/>
    <row r="49" ht="14" customHeight="1" s="90"/>
    <row r="50" ht="14" customHeight="1" s="90"/>
    <row r="51" ht="14" customHeight="1" s="90"/>
    <row r="52" ht="70" customHeight="1" s="90"/>
    <row r="53" ht="28" customHeight="1" s="90"/>
    <row r="54" ht="14" customHeight="1" s="90"/>
    <row r="55" ht="14" customHeight="1" s="90"/>
    <row r="56" ht="14" customHeight="1" s="90"/>
    <row r="57" ht="28" customHeight="1" s="90"/>
    <row r="58" ht="28" customHeight="1" s="90"/>
    <row r="59" ht="14" customHeight="1" s="90"/>
    <row r="60" ht="56" customHeight="1" s="90"/>
    <row r="61" ht="28" customHeight="1" s="90"/>
    <row r="62" ht="14" customHeight="1" s="90"/>
    <row r="63" ht="28" customHeight="1" s="90"/>
    <row r="64" ht="56" customHeight="1" s="90"/>
    <row r="65" ht="28" customHeight="1" s="90"/>
    <row r="66" ht="14" customHeight="1" s="90"/>
    <row r="67" ht="28" customHeight="1" s="90"/>
    <row r="68" ht="28" customHeight="1" s="90"/>
    <row r="69" ht="28" customHeight="1" s="90"/>
    <row r="70" ht="70" customHeight="1" s="90"/>
    <row r="71" ht="56" customHeight="1" s="90"/>
    <row r="72" ht="56" customHeight="1" s="90"/>
    <row r="73" ht="56" customHeight="1" s="90"/>
    <row r="74" ht="56" customHeight="1" s="90"/>
    <row r="75" ht="56" customHeight="1" s="90"/>
    <row r="76" ht="56" customHeight="1" s="90"/>
    <row r="77" ht="56" customHeight="1" s="90"/>
    <row r="78" ht="56" customHeight="1" s="90"/>
    <row r="79" ht="56" customHeight="1" s="90"/>
    <row r="80" ht="56" customHeight="1" s="90"/>
    <row r="81" ht="56" customHeight="1" s="90"/>
    <row r="82" ht="56" customHeight="1" s="90"/>
    <row r="83" ht="56" customHeight="1" s="90"/>
    <row r="84" ht="42" customHeight="1" s="90"/>
    <row r="85" ht="28" customHeight="1" s="90"/>
    <row r="86" ht="28" customHeight="1" s="90"/>
    <row r="87" ht="28" customHeight="1" s="90"/>
    <row r="88" ht="28" customHeight="1" s="90"/>
    <row r="89" ht="28" customHeight="1" s="90"/>
    <row r="90" ht="56" customHeight="1" s="90"/>
    <row r="91" ht="28" customHeight="1" s="90"/>
    <row r="92" ht="56" customHeight="1" s="90"/>
    <row r="93" ht="28" customHeight="1" s="90"/>
    <row r="94" ht="28" customHeight="1" s="90"/>
    <row r="95" ht="28" customHeight="1" s="90"/>
    <row r="96" ht="84" customHeight="1" s="90"/>
    <row r="97" ht="28" customHeight="1" s="90"/>
    <row r="98" ht="70" customHeight="1" s="90"/>
    <row r="99" ht="28" customHeight="1" s="90"/>
    <row r="100" ht="70" customHeight="1" s="90"/>
    <row r="101" ht="98" customHeight="1" s="90"/>
    <row r="102" ht="42" customHeight="1" s="90"/>
    <row r="103" ht="56" customHeight="1" s="90"/>
    <row r="104" ht="28" customHeight="1" s="90"/>
    <row r="105" ht="42" customHeight="1" s="90"/>
    <row r="106" ht="42" customHeight="1" s="90"/>
    <row r="107" ht="28" customHeight="1" s="90"/>
    <row r="108" ht="14" customHeight="1" s="90"/>
    <row r="109" ht="14" customHeight="1" s="90"/>
    <row r="110" ht="28" customHeight="1" s="90"/>
    <row r="111" ht="56" customHeight="1" s="90"/>
    <row r="112" ht="14" customHeight="1" s="90"/>
    <row r="113" ht="28" customHeight="1" s="90"/>
    <row r="114" ht="28" customHeight="1" s="90"/>
    <row r="115" ht="28" customHeight="1" s="90"/>
    <row r="116" ht="14" customHeight="1" s="90"/>
    <row r="117" ht="28" customHeight="1" s="90"/>
    <row r="118" ht="42" customHeight="1" s="90"/>
    <row r="119" ht="14" customHeight="1" s="90"/>
    <row r="120" ht="28" customHeight="1" s="90"/>
    <row r="121" ht="14" customHeight="1" s="90"/>
    <row r="122" ht="14" customHeight="1" s="90"/>
    <row r="123" ht="28" customHeight="1" s="90"/>
    <row r="124" ht="28" customHeight="1" s="90"/>
    <row r="125" ht="14" customHeight="1" s="90"/>
    <row r="126" ht="28" customHeight="1" s="90"/>
    <row r="127" ht="28" customHeight="1" s="90"/>
    <row r="128" ht="28" customHeight="1" s="90"/>
    <row r="129" ht="14" customHeight="1" s="90"/>
    <row r="130" ht="14" customHeight="1" s="90"/>
    <row r="131" ht="42" customHeight="1" s="90"/>
    <row r="132" ht="28" customHeight="1" s="90"/>
    <row r="133" ht="28" customHeight="1" s="90"/>
    <row r="134" ht="28" customHeight="1" s="90"/>
    <row r="135" ht="28" customHeight="1" s="90"/>
    <row r="136" ht="14" customHeight="1" s="90"/>
    <row r="137" ht="14" customHeight="1" s="90"/>
    <row r="138" ht="28" customHeight="1" s="90"/>
    <row r="139" ht="56" customHeight="1" s="90"/>
    <row r="140" ht="14" customHeight="1" s="90"/>
    <row r="141" ht="42" customHeight="1" s="90"/>
    <row r="142" ht="28" customHeight="1" s="90"/>
    <row r="143" ht="14" customHeight="1" s="90"/>
    <row r="144" ht="28" customHeight="1" s="90"/>
    <row r="145" ht="14" customHeight="1" s="90"/>
    <row r="146" ht="14" customHeight="1" s="90"/>
    <row r="147" ht="28" customHeight="1" s="90"/>
    <row r="148" ht="14" customHeight="1" s="90"/>
    <row r="149" ht="42" customHeight="1" s="90"/>
    <row r="150" ht="28" customHeight="1" s="90"/>
    <row r="151" ht="28" customHeight="1" s="90"/>
    <row r="152" ht="28" customHeight="1" s="90"/>
    <row r="153" ht="42" customHeight="1" s="90"/>
    <row r="154" ht="42" customHeight="1" s="90"/>
    <row r="155" ht="28" customHeight="1" s="90"/>
    <row r="156" ht="28" customHeight="1" s="90"/>
    <row r="157" ht="28" customHeight="1" s="90"/>
    <row r="158" ht="28" customHeight="1" s="90"/>
    <row r="159" ht="28" customHeight="1" s="90"/>
    <row r="160" ht="28" customHeight="1" s="90"/>
    <row r="161" ht="28" customHeight="1" s="90"/>
    <row r="162" ht="42" customHeight="1" s="90"/>
    <row r="163" ht="28" customHeight="1" s="90"/>
    <row r="164" ht="42" customHeight="1" s="90"/>
    <row r="165" ht="28" customHeight="1" s="90"/>
    <row r="166" ht="28" customHeight="1" s="90"/>
    <row r="167" ht="56" customHeight="1" s="90"/>
    <row r="168" ht="28" customHeight="1" s="90"/>
    <row r="169" ht="28" customHeight="1" s="90"/>
    <row r="170" ht="42" customHeight="1" s="90"/>
    <row r="171" ht="14" customHeight="1" s="90"/>
    <row r="172" ht="14" customHeight="1" s="90"/>
    <row r="173" ht="14" customHeight="1" s="90"/>
    <row r="174" ht="14" customHeight="1" s="90"/>
    <row r="175" ht="42" customHeight="1" s="90"/>
    <row r="176" ht="14" customHeight="1" s="90"/>
    <row r="177" ht="14" customHeight="1" s="90"/>
    <row r="178" ht="28" customHeight="1" s="90"/>
    <row r="179" ht="56" customHeight="1" s="90"/>
    <row r="180" ht="42" customHeight="1" s="90"/>
    <row r="181" ht="28" customHeight="1" s="90"/>
    <row r="182" ht="28" customHeight="1" s="90"/>
    <row r="183" ht="28" customHeight="1" s="90"/>
    <row r="184" ht="14" customHeight="1" s="90"/>
    <row r="185" ht="28" customHeight="1" s="90"/>
    <row r="186" ht="56" customHeight="1" s="90"/>
    <row r="187" ht="28" customHeight="1" s="90"/>
    <row r="188" ht="28" customHeight="1" s="90"/>
    <row r="189" ht="14" customHeight="1" s="90"/>
    <row r="190" ht="28" customHeight="1" s="90"/>
    <row r="191" ht="14" customHeight="1" s="90"/>
    <row r="192" ht="28" customHeight="1" s="90"/>
    <row r="193" ht="14" customHeight="1" s="90"/>
    <row r="194" ht="14" customHeight="1" s="90"/>
    <row r="195" ht="28" customHeight="1" s="90"/>
    <row r="196" ht="14" customHeight="1" s="90"/>
    <row r="197" ht="14" customHeight="1" s="90"/>
    <row r="198" ht="28" customHeight="1" s="90"/>
    <row r="199" ht="56" customHeight="1" s="90"/>
    <row r="200" ht="42" customHeight="1" s="90"/>
    <row r="201" ht="42" customHeight="1" s="90"/>
    <row r="202" ht="42" customHeight="1" s="90"/>
    <row r="203" ht="42" customHeight="1" s="90"/>
    <row r="204" ht="42" customHeight="1" s="90"/>
    <row r="205" ht="42" customHeight="1" s="90"/>
    <row r="206" ht="42" customHeight="1" s="90"/>
    <row r="207" ht="42" customHeight="1" s="90"/>
    <row r="208" ht="42" customHeight="1" s="90"/>
    <row r="209" ht="42" customHeight="1" s="90"/>
    <row r="210" ht="42" customHeight="1" s="90"/>
    <row r="211" ht="42" customHeight="1" s="90"/>
    <row r="212" ht="42" customHeight="1" s="90"/>
    <row r="213" ht="42" customHeight="1" s="90"/>
    <row r="214" ht="42" customHeight="1" s="90"/>
    <row r="215" ht="56" customHeight="1" s="90"/>
    <row r="216" ht="42" customHeight="1" s="90"/>
    <row r="217" ht="56" customHeight="1" s="90"/>
    <row r="218" ht="56" customHeight="1" s="90"/>
    <row r="219" ht="28" customHeight="1" s="90"/>
    <row r="220" ht="28" customHeight="1" s="90"/>
    <row r="221" ht="70" customHeight="1" s="90"/>
    <row r="222" ht="28" customHeight="1" s="90"/>
    <row r="223" ht="70" customHeight="1" s="90"/>
    <row r="224" ht="42" customHeight="1" s="90"/>
    <row r="225" ht="42" customHeight="1" s="90"/>
    <row r="226" ht="42" customHeight="1" s="90"/>
    <row r="227" ht="70" customHeight="1" s="90"/>
    <row r="228" ht="42" customHeight="1" s="90"/>
    <row r="229" ht="42" customHeight="1" s="90"/>
    <row r="230" ht="56" customHeight="1" s="90"/>
    <row r="231" ht="70" customHeight="1" s="90"/>
    <row r="232" ht="28" customHeight="1" s="90"/>
    <row r="233" ht="42" customHeight="1" s="90"/>
    <row r="234" ht="28" customHeight="1" s="90"/>
    <row r="235" ht="28" customHeight="1" s="90"/>
    <row r="236" ht="70" customHeight="1" s="90"/>
    <row r="237" ht="28" customHeight="1" s="90"/>
    <row r="238" ht="28" customHeight="1" s="90"/>
    <row r="239" ht="28" customHeight="1" s="90"/>
    <row r="240" ht="28" customHeight="1" s="90"/>
    <row r="241" ht="42" customHeight="1" s="90"/>
    <row r="242" ht="28" customHeight="1" s="90"/>
    <row r="243" ht="56" customHeight="1" s="90"/>
    <row r="244" ht="28" customHeight="1" s="90"/>
    <row r="245" ht="28" customHeight="1" s="90"/>
    <row r="246" ht="42" customHeight="1" s="90"/>
    <row r="247" ht="28" customHeight="1" s="90"/>
    <row r="248" ht="28" customHeight="1" s="90"/>
    <row r="249" ht="28" customHeight="1" s="90"/>
    <row r="250" ht="28" customHeight="1" s="90"/>
    <row r="251" ht="56" customHeight="1" s="90"/>
    <row r="252" ht="28" customHeight="1" s="90"/>
    <row r="253" ht="28" customHeight="1" s="90"/>
    <row r="254" ht="28" customHeight="1" s="90"/>
    <row r="255" ht="56" customHeight="1" s="90"/>
    <row r="256" ht="42" customHeight="1" s="90"/>
    <row r="257" ht="28" customHeight="1" s="90"/>
    <row r="258" ht="28" customHeight="1" s="90"/>
    <row r="259" ht="28" customHeight="1" s="90"/>
    <row r="260" ht="28" customHeight="1" s="90"/>
    <row r="261" ht="98" customHeight="1" s="90"/>
    <row r="262" ht="56" customHeight="1" s="90"/>
    <row r="263" ht="28" customHeight="1" s="90"/>
    <row r="264" ht="28" customHeight="1" s="90"/>
    <row r="265" ht="56" customHeight="1" s="90"/>
    <row r="266" ht="42" customHeight="1" s="90"/>
    <row r="267" ht="70" customHeight="1" s="90"/>
    <row r="268" ht="56" customHeight="1" s="90"/>
    <row r="269" ht="28" customHeight="1" s="90"/>
    <row r="270" ht="28" customHeight="1" s="90"/>
    <row r="271" ht="28" customHeight="1" s="90"/>
    <row r="272" ht="28" customHeight="1" s="90"/>
    <row r="273" ht="28" customHeight="1" s="90"/>
    <row r="274" ht="28" customHeight="1" s="90"/>
    <row r="275" ht="28" customHeight="1" s="90"/>
    <row r="276" ht="28" customHeight="1" s="90"/>
    <row r="277" ht="28" customHeight="1" s="90"/>
    <row r="278" ht="28" customHeight="1" s="90"/>
    <row r="279" ht="28" customHeight="1" s="90"/>
    <row r="280" ht="28" customHeight="1" s="90"/>
    <row r="281" ht="28" customHeight="1" s="90"/>
    <row r="282" ht="28" customHeight="1" s="90"/>
    <row r="283" ht="28" customHeight="1" s="90"/>
    <row r="284" ht="28" customHeight="1" s="90"/>
    <row r="285" ht="28" customHeight="1" s="90"/>
    <row r="286" ht="28" customHeight="1" s="90"/>
    <row r="287" ht="28" customHeight="1" s="90"/>
    <row r="288" ht="42" customHeight="1" s="90"/>
    <row r="289" ht="28" customHeight="1" s="90"/>
    <row r="290" ht="28" customHeight="1" s="90"/>
    <row r="291" ht="28" customHeight="1" s="90"/>
    <row r="292" ht="28" customHeight="1" s="90"/>
    <row r="293" ht="28" customHeight="1" s="90"/>
    <row r="294" ht="28" customHeight="1" s="90"/>
    <row r="295" ht="28" customHeight="1" s="90"/>
    <row r="296" ht="28" customHeight="1" s="90"/>
    <row r="297" ht="28" customHeight="1" s="90"/>
    <row r="298" ht="28" customHeight="1" s="90"/>
    <row r="299" ht="28" customHeight="1" s="90"/>
    <row r="300" ht="28" customHeight="1" s="90"/>
    <row r="301" ht="14" customHeight="1" s="90"/>
    <row r="302" ht="28" customHeight="1" s="90"/>
    <row r="303" ht="14" customHeight="1" s="90"/>
    <row r="304" ht="14" customHeight="1" s="90"/>
    <row r="305" ht="14" customHeight="1" s="90"/>
    <row r="306" ht="28" customHeight="1" s="90"/>
    <row r="307" ht="14" customHeight="1" s="90"/>
    <row r="308" ht="14" customHeight="1" s="90"/>
    <row r="309" ht="42" customHeight="1" s="90"/>
    <row r="310" ht="14" customHeight="1" s="90"/>
    <row r="311" ht="28" customHeight="1" s="90"/>
    <row r="312" ht="14" customHeight="1" s="90"/>
    <row r="313" ht="28" customHeight="1" s="90"/>
    <row r="314" ht="28" customHeight="1" s="90"/>
    <row r="315" ht="28" customHeight="1" s="90"/>
    <row r="316" ht="14" customHeight="1" s="90"/>
    <row r="317" ht="28" customHeight="1" s="90"/>
    <row r="318" ht="28" customHeight="1" s="90"/>
    <row r="319" ht="70" customHeight="1" s="90"/>
    <row r="320" ht="14" customHeight="1" s="90"/>
    <row r="321" ht="14" customHeight="1" s="90"/>
    <row r="322" ht="42" customHeight="1" s="90"/>
    <row r="323" ht="14" customHeight="1" s="90"/>
    <row r="324" ht="28" customHeight="1" s="90"/>
    <row r="325" ht="14" customHeight="1" s="90"/>
    <row r="326" ht="14" customHeight="1" s="90"/>
    <row r="327" ht="42" customHeight="1" s="90"/>
    <row r="328" ht="14" customHeight="1" s="90"/>
    <row r="329" ht="14" customHeight="1" s="90"/>
    <row r="330" ht="42" customHeight="1" s="90"/>
    <row r="331" ht="42" customHeight="1" s="90"/>
    <row r="332" ht="14" customHeight="1" s="90"/>
    <row r="333" ht="56" customHeight="1" s="90"/>
    <row r="334" ht="14" customHeight="1" s="90"/>
    <row r="335" ht="14" customHeight="1" s="90"/>
    <row r="336" ht="14" customHeight="1" s="90"/>
    <row r="337" ht="14" customHeight="1" s="90"/>
    <row r="338" ht="14" customHeight="1" s="90"/>
    <row r="339" ht="28" customHeight="1" s="90"/>
    <row r="340" ht="28" customHeight="1" s="90"/>
    <row r="341" ht="28" customHeight="1" s="90"/>
    <row r="342" ht="14" customHeight="1" s="90"/>
    <row r="343" ht="14" customHeight="1" s="90"/>
    <row r="344" ht="28" customHeight="1" s="90"/>
    <row r="345" ht="42" customHeight="1" s="90"/>
    <row r="346" ht="14" customHeight="1" s="90"/>
    <row r="347" ht="28" customHeight="1" s="90"/>
    <row r="348" ht="14" customHeight="1" s="90"/>
    <row r="349" ht="56" customHeight="1" s="90"/>
    <row r="350" ht="42" customHeight="1" s="90"/>
    <row r="351" ht="28" customHeight="1" s="90"/>
    <row r="352" ht="42" customHeight="1" s="90"/>
    <row r="353" ht="28" customHeight="1" s="90"/>
    <row r="354" ht="28" customHeight="1" s="90"/>
    <row r="355" ht="28" customHeight="1" s="90"/>
    <row r="356" ht="28" customHeight="1" s="90"/>
    <row r="357" ht="56" customHeight="1" s="90"/>
    <row r="358" ht="28" customHeight="1" s="90"/>
    <row r="359" ht="28" customHeight="1" s="90"/>
    <row r="360" ht="28" customHeight="1" s="90"/>
    <row r="361" ht="28" customHeight="1" s="90"/>
    <row r="362" ht="28" customHeight="1" s="90"/>
    <row r="363" ht="14" customHeight="1" s="90"/>
    <row r="364" ht="14" customHeight="1" s="90"/>
    <row r="365" ht="42" customHeight="1" s="90"/>
    <row r="366" ht="28" customHeight="1" s="90"/>
    <row r="367" ht="14" customHeight="1" s="90"/>
    <row r="368" ht="14" customHeight="1" s="90"/>
    <row r="369" ht="14" customHeight="1" s="90"/>
    <row r="370" ht="14" customHeight="1" s="90"/>
    <row r="371" ht="14" customHeight="1" s="90"/>
    <row r="372" ht="14" customHeight="1" s="90"/>
    <row r="373" ht="28" customHeight="1" s="90"/>
    <row r="374" ht="28" customHeight="1" s="90"/>
    <row r="375" ht="70" customHeight="1" s="90"/>
    <row r="376" ht="28" customHeight="1" s="90"/>
    <row r="377" ht="14" customHeight="1" s="90"/>
    <row r="378" ht="42" customHeight="1" s="90"/>
    <row r="379" ht="14" customHeight="1" s="90"/>
    <row r="380" ht="70" customHeight="1" s="90"/>
    <row r="381" ht="28" customHeight="1" s="90"/>
    <row r="382" ht="56" customHeight="1" s="90"/>
    <row r="383" ht="70" customHeight="1" s="90"/>
    <row r="384" ht="56" customHeight="1" s="90"/>
    <row r="385" ht="28" customHeight="1" s="90"/>
    <row r="386" ht="28" customHeight="1" s="90"/>
    <row r="387" ht="28" customHeight="1" s="90"/>
    <row r="388" ht="28" customHeight="1" s="90"/>
    <row r="389" ht="28" customHeight="1" s="90"/>
    <row r="390" ht="28" customHeight="1" s="90"/>
    <row r="391" ht="42" customHeight="1" s="90"/>
    <row r="392" ht="28" customHeight="1" s="90"/>
    <row r="393" ht="28" customHeight="1" s="90"/>
    <row r="394" ht="28" customHeight="1" s="90"/>
    <row r="395" ht="28" customHeight="1" s="90"/>
    <row r="396" ht="56" customHeight="1" s="90"/>
    <row r="397" ht="28" customHeight="1" s="90"/>
    <row r="398" ht="28" customHeight="1" s="90"/>
    <row r="399" ht="28" customHeight="1" s="90"/>
    <row r="400" ht="28" customHeight="1" s="90"/>
    <row r="401" ht="28" customHeight="1" s="90"/>
    <row r="402" ht="28" customHeight="1" s="90"/>
    <row r="403" ht="42" customHeight="1" s="90"/>
    <row r="404" ht="28" customHeight="1" s="90"/>
    <row r="405" ht="28" customHeight="1" s="90"/>
    <row r="406" ht="28" customHeight="1" s="90"/>
    <row r="407" ht="28" customHeight="1" s="90"/>
    <row r="408" ht="42" customHeight="1" s="90"/>
    <row r="409" ht="70" customHeight="1" s="90"/>
    <row r="410" ht="28" customHeight="1" s="90"/>
    <row r="411" ht="28" customHeight="1" s="90"/>
    <row r="412" ht="28" customHeight="1" s="90"/>
    <row r="413" ht="28" customHeight="1" s="90"/>
    <row r="414" ht="28" customHeight="1" s="90"/>
    <row r="415" ht="28" customHeight="1" s="90"/>
    <row r="416" ht="28" customHeight="1" s="90"/>
    <row r="417" ht="42" customHeight="1" s="90"/>
    <row r="418" ht="28" customHeight="1" s="90"/>
    <row r="419" ht="28" customHeight="1" s="90"/>
    <row r="420" ht="28" customHeight="1" s="90"/>
    <row r="421" ht="28" customHeight="1" s="90"/>
    <row r="422" ht="28" customHeight="1" s="90"/>
    <row r="423" ht="28" customHeight="1" s="90"/>
    <row r="424" ht="28" customHeight="1" s="90"/>
    <row r="425" ht="28" customHeight="1" s="90"/>
    <row r="426" ht="28" customHeight="1" s="90"/>
    <row r="427" ht="28" customHeight="1" s="90"/>
    <row r="428" ht="42" customHeight="1" s="90"/>
    <row r="429" ht="28" customHeight="1" s="90"/>
    <row r="430" ht="56" customHeight="1" s="90"/>
    <row r="431" ht="42" customHeight="1" s="90"/>
    <row r="432" ht="28" customHeight="1" s="90"/>
    <row r="433" ht="28" customHeight="1" s="90"/>
    <row r="434" ht="28" customHeight="1" s="90"/>
    <row r="435" ht="56" customHeight="1" s="90"/>
    <row r="436" ht="28" customHeight="1" s="90"/>
    <row r="437" ht="28" customHeight="1" s="90"/>
    <row r="438" ht="28" customHeight="1" s="90"/>
    <row r="439" ht="28" customHeight="1" s="90"/>
    <row r="440" ht="28" customHeight="1" s="90"/>
    <row r="441" ht="28" customHeight="1" s="90"/>
    <row r="442" ht="28" customHeight="1" s="90"/>
    <row r="443" ht="28" customHeight="1" s="90"/>
    <row r="444" ht="42" customHeight="1" s="90"/>
    <row r="445" ht="42" customHeight="1" s="90"/>
    <row r="446" ht="28" customHeight="1" s="90"/>
    <row r="447" ht="28" customHeight="1" s="90"/>
    <row r="448" ht="28" customHeight="1" s="90"/>
    <row r="449" ht="28" customHeight="1" s="90"/>
    <row r="450" ht="28" customHeight="1" s="90"/>
    <row r="451" ht="28" customHeight="1" s="90"/>
    <row r="452" ht="28" customHeight="1" s="90"/>
    <row r="453" ht="28" customHeight="1" s="90"/>
    <row r="454" ht="28" customHeight="1" s="90"/>
    <row r="455" ht="28" customHeight="1" s="90"/>
    <row r="456" ht="28" customHeight="1" s="90"/>
    <row r="457" ht="28" customHeight="1" s="90"/>
    <row r="458" ht="28" customHeight="1" s="90"/>
    <row r="459" ht="28" customHeight="1" s="90"/>
    <row r="460" ht="28" customHeight="1" s="90"/>
    <row r="461" ht="42" customHeight="1" s="90"/>
    <row r="462" ht="28" customHeight="1" s="90"/>
    <row r="463" ht="28" customHeight="1" s="90"/>
    <row r="464" ht="28" customHeight="1" s="90"/>
    <row r="465" ht="28" customHeight="1" s="90"/>
    <row r="466" ht="28" customHeight="1" s="90"/>
    <row r="467" ht="28" customHeight="1" s="90"/>
    <row r="468" ht="28" customHeight="1" s="90"/>
    <row r="469" ht="14" customHeight="1" s="90"/>
    <row r="470" ht="14" customHeight="1" s="90"/>
    <row r="471" ht="28" customHeight="1" s="90"/>
    <row r="472" ht="14" customHeight="1" s="90"/>
    <row r="473" ht="14" customHeight="1" s="90"/>
    <row r="474" ht="28" customHeight="1" s="90"/>
    <row r="475" ht="14" customHeight="1" s="90"/>
    <row r="476" ht="14" customHeight="1" s="90"/>
    <row r="477" ht="42" customHeight="1" s="90"/>
    <row r="478" ht="14" customHeight="1" s="90"/>
    <row r="479" ht="14" customHeight="1" s="90"/>
    <row r="480" ht="14" customHeight="1" s="90"/>
    <row r="481" ht="42" customHeight="1" s="90"/>
    <row r="482" ht="28" customHeight="1" s="90"/>
    <row r="483" ht="28" customHeight="1" s="90"/>
    <row r="484" ht="28" customHeight="1" s="90"/>
    <row r="485" ht="42" customHeight="1" s="90"/>
    <row r="486" ht="56" customHeight="1" s="90"/>
    <row r="487" ht="28" customHeight="1" s="90"/>
    <row r="488" ht="28" customHeight="1" s="90"/>
    <row r="489" ht="14" customHeight="1" s="90"/>
    <row r="490" ht="14" customHeight="1" s="90"/>
    <row r="491" ht="14" customHeight="1" s="90"/>
    <row r="492" ht="14" customHeight="1" s="90"/>
    <row r="493" ht="14" customHeight="1" s="90"/>
    <row r="494" ht="42" customHeight="1" s="90"/>
    <row r="495" ht="14" customHeight="1" s="90"/>
    <row r="496" ht="14" customHeight="1" s="90"/>
    <row r="497" ht="14" customHeight="1" s="90"/>
    <row r="498" ht="14" customHeight="1" s="90"/>
    <row r="499" ht="14" customHeight="1" s="90"/>
    <row r="500" ht="14" customHeight="1" s="90"/>
    <row r="501" ht="14" customHeight="1" s="90"/>
    <row r="502" ht="14" customHeight="1" s="90"/>
    <row r="503" ht="42" customHeight="1" s="90"/>
    <row r="504" ht="14" customHeight="1" s="90"/>
    <row r="505" ht="14" customHeight="1" s="90"/>
    <row r="506" ht="14" customHeight="1" s="90"/>
    <row r="507" ht="28" customHeight="1" s="90"/>
    <row r="508" ht="14" customHeight="1" s="90"/>
    <row r="509" ht="14" customHeight="1" s="90"/>
    <row r="510" ht="28" customHeight="1" s="90"/>
    <row r="511" ht="28" customHeight="1" s="90"/>
    <row r="512" ht="28" customHeight="1" s="90"/>
    <row r="513" ht="14" customHeight="1" s="90"/>
    <row r="514" ht="14" customHeight="1" s="90"/>
    <row r="515" ht="28" customHeight="1" s="90"/>
    <row r="516" ht="28" customHeight="1" s="90"/>
    <row r="517" ht="42" customHeight="1" s="90"/>
    <row r="518" ht="28" customHeight="1" s="90"/>
    <row r="519" ht="28" customHeight="1" s="90"/>
    <row r="520" ht="28" customHeight="1" s="90"/>
    <row r="521" ht="42" customHeight="1" s="90"/>
    <row r="522" ht="42" customHeight="1" s="90"/>
    <row r="523" ht="14" customHeight="1" s="90"/>
    <row r="524" ht="56" customHeight="1" s="90"/>
    <row r="525" ht="28" customHeight="1" s="90"/>
    <row r="526" ht="28" customHeight="1" s="90"/>
    <row r="527" ht="14" customHeight="1" s="90"/>
    <row r="528" ht="14" customHeight="1" s="90"/>
    <row r="529" ht="28" customHeight="1" s="90"/>
    <row r="530" ht="28" customHeight="1" s="90"/>
    <row r="531" ht="28" customHeight="1" s="90"/>
    <row r="532" ht="28" customHeight="1" s="90"/>
    <row r="533" ht="14" customHeight="1" s="90"/>
    <row r="534" ht="14" customHeight="1" s="90"/>
    <row r="535" ht="42" customHeight="1" s="90"/>
    <row r="536" ht="28" customHeight="1" s="90"/>
    <row r="537" ht="56" customHeight="1" s="90"/>
    <row r="538" ht="28" customHeight="1" s="90"/>
    <row r="539" ht="28" customHeight="1" s="90"/>
    <row r="540" ht="14" customHeight="1" s="90"/>
    <row r="541" ht="28" customHeight="1" s="90"/>
    <row r="542" ht="56" customHeight="1" s="90"/>
    <row r="543" ht="28" customHeight="1" s="90"/>
    <row r="544" ht="14" customHeight="1" s="90"/>
    <row r="545" ht="14" customHeight="1" s="90"/>
    <row r="546" ht="14" customHeight="1" s="90"/>
    <row r="547" ht="14" customHeight="1" s="90"/>
    <row r="548" ht="14" customHeight="1" s="90"/>
    <row r="549" ht="28" customHeight="1" s="90"/>
    <row r="550" ht="42" customHeight="1" s="90"/>
    <row r="551" ht="42" customHeight="1" s="90"/>
    <row r="552" ht="28" customHeight="1" s="90"/>
    <row r="553" ht="28" customHeight="1" s="90"/>
    <row r="554" ht="28" customHeight="1" s="90"/>
    <row r="555" ht="28" customHeight="1" s="90"/>
    <row r="556" ht="14" customHeight="1" s="90"/>
    <row r="557" ht="28" customHeight="1" s="90"/>
    <row r="558" ht="14" customHeight="1" s="90"/>
    <row r="559" ht="56" customHeight="1" s="90"/>
    <row r="560" ht="28" customHeight="1" s="90"/>
    <row r="561" ht="14" customHeight="1" s="90"/>
    <row r="562" ht="14" customHeight="1" s="90"/>
    <row r="563" ht="28" customHeight="1" s="90"/>
    <row r="564" ht="28" customHeight="1" s="90"/>
    <row r="565" ht="14" customHeight="1" s="90"/>
    <row r="566" ht="14" customHeight="1" s="90"/>
    <row r="567" ht="28" customHeight="1" s="90"/>
    <row r="568" ht="14" customHeight="1" s="90"/>
    <row r="569" ht="42" customHeight="1" s="90"/>
    <row r="570" ht="28" customHeight="1" s="90"/>
    <row r="571" ht="28" customHeight="1" s="90"/>
    <row r="572" ht="28" customHeight="1" s="90"/>
    <row r="573" ht="42" customHeight="1" s="90"/>
    <row r="574" ht="42" customHeight="1" s="90"/>
    <row r="575" ht="14" customHeight="1" s="90"/>
    <row r="576" ht="14" customHeight="1" s="90"/>
    <row r="577" ht="56" customHeight="1" s="90"/>
    <row r="578" ht="28" customHeight="1" s="90"/>
    <row r="579" ht="28" customHeight="1" s="90"/>
    <row r="580" ht="42" customHeight="1" s="90"/>
    <row r="581" ht="28" customHeight="1" s="90"/>
    <row r="582" ht="28" customHeight="1" s="90"/>
    <row r="583" ht="28" customHeight="1" s="90"/>
    <row r="584" ht="28" customHeight="1" s="90"/>
    <row r="585" ht="28" customHeight="1" s="90"/>
    <row r="586" ht="28" customHeight="1" s="90"/>
    <row r="587" ht="28" customHeight="1" s="90"/>
    <row r="588" ht="28" customHeight="1" s="90"/>
    <row r="589" ht="28" customHeight="1" s="90"/>
    <row r="590" ht="28" customHeight="1" s="90"/>
    <row r="591" ht="28" customHeight="1" s="90"/>
    <row r="592" ht="28" customHeight="1" s="90"/>
    <row r="593" ht="28" customHeight="1" s="90"/>
    <row r="594" ht="42" customHeight="1" s="90"/>
    <row r="595" ht="28" customHeight="1" s="90"/>
    <row r="596" ht="42" customHeight="1" s="90"/>
    <row r="597" ht="28" customHeight="1" s="90"/>
    <row r="598" ht="42" customHeight="1" s="90"/>
    <row r="599" ht="42" customHeight="1" s="90"/>
    <row r="600" ht="42" customHeight="1" s="90"/>
    <row r="601" ht="42" customHeight="1" s="90"/>
    <row r="602" ht="42" customHeight="1" s="90"/>
    <row r="603" ht="42" customHeight="1" s="90"/>
    <row r="604" ht="42" customHeight="1" s="90"/>
    <row r="605" ht="56" customHeight="1" s="90"/>
    <row r="606" ht="28" customHeight="1" s="90"/>
    <row r="607" ht="28" customHeight="1" s="90"/>
    <row r="608" ht="28" customHeight="1" s="90"/>
    <row r="609" ht="28" customHeight="1" s="90"/>
    <row r="610" ht="28" customHeight="1" s="90"/>
    <row r="611" ht="28" customHeight="1" s="90"/>
    <row r="612" ht="42" customHeight="1" s="90"/>
    <row r="613" ht="28" customHeight="1" s="90"/>
    <row r="614" ht="28" customHeight="1" s="90"/>
    <row r="615" ht="28" customHeight="1" s="90"/>
    <row r="616" ht="14" customHeight="1" s="90"/>
    <row r="617" ht="28" customHeight="1" s="90"/>
    <row r="618" ht="28" customHeight="1" s="90"/>
    <row r="619" ht="14" customHeight="1" s="90"/>
    <row r="620" ht="28" customHeight="1" s="90"/>
    <row r="621" ht="14" customHeight="1" s="90"/>
    <row r="622" ht="28" customHeight="1" s="90"/>
    <row r="623" ht="28" customHeight="1" s="90"/>
    <row r="624" ht="14" customHeight="1" s="90"/>
    <row r="625" ht="28" customHeight="1" s="90"/>
    <row r="626" ht="14" customHeight="1" s="90"/>
    <row r="627" ht="28" customHeight="1" s="90"/>
    <row r="628" ht="14" customHeight="1" s="90"/>
    <row r="629" ht="28" customHeight="1" s="90"/>
    <row r="630" ht="42" customHeight="1" s="90"/>
    <row r="631" ht="42" customHeight="1" s="90"/>
    <row r="632" ht="14" customHeight="1" s="90"/>
    <row r="633" ht="14" customHeight="1" s="90"/>
    <row r="634" ht="28" customHeight="1" s="90"/>
    <row r="635" ht="14" customHeight="1" s="90"/>
    <row r="636" ht="28" customHeight="1" s="90"/>
    <row r="637" ht="28" customHeight="1" s="90"/>
    <row r="638" ht="14" customHeight="1" s="90"/>
    <row r="639" ht="14" customHeight="1" s="90"/>
    <row r="640" ht="14" customHeight="1" s="90"/>
    <row r="641" ht="28" customHeight="1" s="90"/>
    <row r="642" ht="70" customHeight="1" s="90"/>
    <row r="643" ht="56" customHeight="1" s="90"/>
    <row r="644" ht="14" customHeight="1" s="90"/>
    <row r="645" ht="14" customHeight="1" s="90"/>
    <row r="646" ht="14" customHeight="1" s="90"/>
    <row r="647" ht="56" customHeight="1" s="90"/>
    <row r="648" ht="14" customHeight="1" s="90"/>
    <row r="649" ht="56" customHeight="1" s="90"/>
    <row r="650" ht="14" customHeight="1" s="90"/>
    <row r="651" ht="14" customHeight="1" s="90"/>
    <row r="652" ht="14" customHeight="1" s="90"/>
    <row r="653" ht="14" customHeight="1" s="90"/>
    <row r="654" ht="14" customHeight="1" s="90"/>
    <row r="655" ht="42" customHeight="1" s="90"/>
    <row r="656" ht="56" customHeight="1" s="90"/>
    <row r="657" ht="14" customHeight="1" s="90"/>
    <row r="658" ht="14" customHeight="1" s="90"/>
    <row r="659" ht="14" customHeight="1" s="90"/>
    <row r="660" ht="14" customHeight="1" s="90"/>
    <row r="661" ht="14" customHeight="1" s="90"/>
    <row r="662" ht="28" customHeight="1" s="90"/>
    <row r="663" ht="14" customHeight="1" s="90"/>
    <row r="664" ht="14" customHeight="1" s="90"/>
    <row r="665" ht="28" customHeight="1" s="90"/>
    <row r="666" ht="28" customHeight="1" s="90"/>
    <row r="667" ht="14" customHeight="1" s="90"/>
    <row r="668" ht="28" customHeight="1" s="90"/>
    <row r="669" ht="28" customHeight="1" s="90"/>
    <row r="670" ht="28" customHeight="1" s="90"/>
    <row r="671" ht="14" customHeight="1" s="90"/>
    <row r="672" ht="28" customHeight="1" s="90"/>
    <row r="673" ht="42" customHeight="1" s="90"/>
    <row r="674" ht="14" customHeight="1" s="90"/>
    <row r="675" ht="28" customHeight="1" s="90"/>
    <row r="676" ht="28" customHeight="1" s="90"/>
    <row r="677" ht="42" customHeight="1" s="90"/>
    <row r="678" ht="56" customHeight="1" s="90"/>
    <row r="679" ht="42" customHeight="1" s="90"/>
    <row r="680" ht="14" customHeight="1" s="90"/>
    <row r="681" ht="14" customHeight="1" s="90"/>
    <row r="682" ht="28" customHeight="1" s="90"/>
    <row r="683" ht="28" customHeight="1" s="90"/>
    <row r="684" ht="28" customHeight="1" s="90"/>
    <row r="685" ht="28" customHeight="1" s="90"/>
    <row r="686" ht="56" customHeight="1" s="90"/>
    <row r="687" ht="14" customHeight="1" s="90"/>
    <row r="688" ht="56" customHeight="1" s="90"/>
    <row r="689" ht="42" customHeight="1" s="90"/>
    <row r="690" ht="42" customHeight="1" s="90"/>
    <row r="691" ht="14" customHeight="1" s="90"/>
    <row r="692" ht="42" customHeight="1" s="90"/>
    <row r="693" ht="14" customHeight="1" s="90"/>
    <row r="694" ht="28" customHeight="1" s="90"/>
    <row r="695" ht="14" customHeight="1" s="90"/>
    <row r="696" ht="70" customHeight="1" s="90"/>
    <row r="697" ht="28" customHeight="1" s="90"/>
    <row r="698" ht="42" customHeight="1" s="90"/>
    <row r="699" ht="42" customHeight="1" s="90"/>
    <row r="700" ht="56" customHeight="1" s="90"/>
    <row r="701" ht="14" customHeight="1" s="90"/>
    <row r="702" ht="28" customHeight="1" s="90"/>
    <row r="703" ht="56" customHeight="1" s="90"/>
    <row r="704" ht="42" customHeight="1" s="90"/>
    <row r="705" ht="28" customHeight="1" s="90"/>
    <row r="706" ht="28" customHeight="1" s="90"/>
    <row r="707" ht="28" customHeight="1" s="90"/>
    <row r="708" ht="14" customHeight="1" s="90"/>
    <row r="709" ht="14" customHeight="1" s="90"/>
    <row r="710" ht="14" customHeight="1" s="90"/>
    <row r="711" ht="14" customHeight="1" s="90"/>
    <row r="712" ht="14" customHeight="1" s="90"/>
    <row r="713" ht="28" customHeight="1" s="90"/>
    <row r="714" ht="14" customHeight="1" s="90"/>
    <row r="715" ht="28" customHeight="1" s="90"/>
    <row r="716" ht="14" customHeight="1" s="90"/>
    <row r="717" ht="28" customHeight="1" s="90"/>
    <row r="718" ht="14" customHeight="1" s="90"/>
    <row r="719" ht="14" customHeight="1" s="90"/>
    <row r="720" ht="14" customHeight="1" s="90"/>
    <row r="721" ht="28" customHeight="1" s="90"/>
    <row r="722" ht="42" customHeight="1" s="90"/>
    <row r="723" ht="28" customHeight="1" s="90"/>
    <row r="724" ht="42" customHeight="1" s="90"/>
    <row r="725" ht="28" customHeight="1" s="90"/>
    <row r="726" ht="28" customHeight="1" s="90"/>
    <row r="727" ht="28" customHeight="1" s="90"/>
    <row r="728" ht="28" customHeight="1" s="90"/>
    <row r="729" ht="28" customHeight="1" s="90"/>
    <row r="730" ht="56" customHeight="1" s="90"/>
    <row r="731" ht="28" customHeight="1" s="90"/>
    <row r="732" ht="56" customHeight="1" s="90"/>
    <row r="733" ht="14" customHeight="1" s="90"/>
    <row r="734" ht="28" customHeight="1" s="90"/>
    <row r="735" ht="28" customHeight="1" s="90"/>
    <row r="736" ht="28" customHeight="1" s="90"/>
    <row r="737" ht="56" customHeight="1" s="90"/>
    <row r="738" ht="70" customHeight="1" s="90"/>
    <row r="739" ht="56" customHeight="1" s="90"/>
    <row r="740" ht="42" customHeight="1" s="90"/>
    <row r="741" ht="28" customHeight="1" s="90"/>
    <row r="742" ht="56" customHeight="1" s="90"/>
    <row r="743" ht="56" customHeight="1" s="90"/>
    <row r="744" ht="42" customHeight="1" s="90"/>
    <row r="745" ht="70" customHeight="1" s="90"/>
    <row r="746" ht="28" customHeight="1" s="90"/>
    <row r="747" ht="28" customHeight="1" s="90"/>
    <row r="748" ht="28" customHeight="1" s="90"/>
    <row r="749" ht="42" customHeight="1" s="90"/>
    <row r="750" ht="14" customHeight="1" s="90"/>
    <row r="751" ht="14" customHeight="1" s="90"/>
    <row r="752" ht="14" customHeight="1" s="90"/>
    <row r="753" ht="28" customHeight="1" s="90"/>
    <row r="754" ht="14" customHeight="1" s="90"/>
    <row r="755" ht="28" customHeight="1" s="90"/>
    <row r="756" ht="14" customHeight="1" s="90"/>
    <row r="757" ht="28" customHeight="1" s="90"/>
    <row r="758" ht="28" customHeight="1" s="90"/>
    <row r="759" ht="56" customHeight="1" s="90"/>
    <row r="760" ht="14" customHeight="1" s="90"/>
    <row r="761" ht="14" customHeight="1" s="90"/>
    <row r="762" ht="56" customHeight="1" s="90"/>
    <row r="763" ht="28" customHeight="1" s="90"/>
    <row r="764" ht="56" customHeight="1" s="90"/>
    <row r="765" ht="56" customHeight="1" s="90"/>
    <row r="766" ht="14" customHeight="1" s="90"/>
    <row r="767" ht="28" customHeight="1" s="90"/>
    <row r="768" ht="14" customHeight="1" s="90"/>
    <row r="769" ht="14" customHeight="1" s="90"/>
    <row r="770" ht="28" customHeight="1" s="90"/>
    <row r="771" ht="28" customHeight="1" s="90"/>
    <row r="772" ht="28" customHeight="1" s="90"/>
    <row r="773" ht="42" customHeight="1" s="90"/>
    <row r="774" ht="28" customHeight="1" s="90"/>
    <row r="775" ht="28" customHeight="1" s="90"/>
    <row r="776" ht="28" customHeight="1" s="90"/>
    <row r="777" ht="28" customHeight="1" s="90"/>
    <row r="778" ht="28" customHeight="1" s="90"/>
    <row r="779" ht="28" customHeight="1" s="90"/>
    <row r="780" ht="28" customHeight="1" s="90"/>
    <row r="781" ht="28" customHeight="1" s="90"/>
    <row r="782" ht="28" customHeight="1" s="90"/>
    <row r="783" ht="28" customHeight="1" s="90"/>
    <row r="784" ht="28" customHeight="1" s="90"/>
    <row r="785" ht="28" customHeight="1" s="90"/>
    <row r="786" ht="28" customHeight="1" s="90"/>
    <row r="787" ht="28" customHeight="1" s="90"/>
    <row r="788" ht="28" customHeight="1" s="90"/>
    <row r="789" ht="28" customHeight="1" s="90"/>
    <row r="790" ht="28" customHeight="1" s="90"/>
    <row r="791" ht="42" customHeight="1" s="90"/>
    <row r="792" ht="42" customHeight="1" s="90"/>
    <row r="793" ht="56" customHeight="1" s="90"/>
    <row r="794" ht="14" customHeight="1" s="90"/>
    <row r="795" ht="28" customHeight="1" s="90"/>
    <row r="796" ht="42" customHeight="1" s="90"/>
    <row r="797" ht="14" customHeight="1" s="90"/>
    <row r="798" ht="42" customHeight="1" s="90"/>
    <row r="799" ht="28" customHeight="1" s="90"/>
    <row r="800" ht="14" customHeight="1" s="90"/>
    <row r="801" ht="28" customHeight="1" s="90"/>
    <row r="802" ht="14" customHeight="1" s="90"/>
    <row r="803" ht="14" customHeight="1" s="90"/>
    <row r="804" ht="14" customHeight="1" s="90"/>
    <row r="805" ht="14" customHeight="1" s="90"/>
    <row r="806" ht="42" customHeight="1" s="90"/>
    <row r="807" ht="14" customHeight="1" s="90"/>
    <row r="808" ht="28" customHeight="1" s="90"/>
    <row r="809" ht="14" customHeight="1" s="90"/>
    <row r="810" ht="28" customHeight="1" s="90"/>
    <row r="811" ht="14" customHeight="1" s="90"/>
    <row r="812" ht="28" customHeight="1" s="90"/>
    <row r="813" ht="14" customHeight="1" s="90"/>
    <row r="814" ht="28" customHeight="1" s="90"/>
    <row r="815" ht="28" customHeight="1" s="90"/>
    <row r="816" ht="14" customHeight="1" s="90"/>
    <row r="817" ht="42" customHeight="1" s="90"/>
    <row r="818" ht="14" customHeight="1" s="90"/>
    <row r="819" ht="42" customHeight="1" s="90"/>
    <row r="820" ht="14" customHeight="1" s="90"/>
    <row r="821" ht="14" customHeight="1" s="90"/>
    <row r="822" ht="28" customHeight="1" s="90"/>
    <row r="823" ht="14" customHeight="1" s="90"/>
    <row r="824" ht="14" customHeight="1" s="90"/>
    <row r="825" ht="28" customHeight="1" s="90"/>
    <row r="826" ht="28" customHeight="1" s="90"/>
    <row r="827" ht="28" customHeight="1" s="90"/>
    <row r="828" ht="28" customHeight="1" s="90"/>
    <row r="829" ht="28" customHeight="1" s="90"/>
    <row r="830" ht="28" customHeight="1" s="90"/>
    <row r="831" ht="28" customHeight="1" s="90"/>
    <row r="832" ht="28" customHeight="1" s="90"/>
    <row r="833" ht="28" customHeight="1" s="90"/>
    <row r="834" ht="28" customHeight="1" s="90"/>
    <row r="835" ht="42" customHeight="1" s="90"/>
    <row r="836" ht="42" customHeight="1" s="90"/>
    <row r="837" ht="28" customHeight="1" s="90"/>
    <row r="838" ht="70" customHeight="1" s="90"/>
    <row r="839" ht="28" customHeight="1" s="90"/>
    <row r="840" ht="28" customHeight="1" s="90"/>
    <row r="841" ht="28" customHeight="1" s="90"/>
    <row r="842" ht="28" customHeight="1" s="90"/>
    <row r="843" ht="14" customHeight="1" s="90"/>
    <row r="844" ht="42" customHeight="1" s="90"/>
    <row r="845" ht="14" customHeight="1" s="90"/>
    <row r="846" ht="28" customHeight="1" s="90"/>
    <row r="847" ht="28" customHeight="1" s="90"/>
    <row r="848" ht="28" customHeight="1" s="90"/>
    <row r="849" ht="14" customHeight="1" s="90"/>
    <row r="850" ht="14" customHeight="1" s="90"/>
    <row r="851" ht="14" customHeight="1" s="90"/>
    <row r="852" ht="28" customHeight="1" s="90"/>
    <row r="853" ht="14" customHeight="1" s="90"/>
    <row r="854" ht="14" customHeight="1" s="90"/>
    <row r="855" ht="14" customHeight="1" s="90"/>
    <row r="856" ht="28" customHeight="1" s="90"/>
    <row r="857" ht="14" customHeight="1" s="90"/>
    <row r="858" ht="14" customHeight="1" s="90"/>
    <row r="859" ht="28" customHeight="1" s="90"/>
    <row r="860" ht="70" customHeight="1" s="90"/>
    <row r="861" ht="28" customHeight="1" s="90"/>
    <row r="862" ht="14" customHeight="1" s="90"/>
    <row r="863" ht="56" customHeight="1" s="90"/>
    <row r="864" ht="14" customHeight="1" s="90"/>
    <row r="865" ht="42" customHeight="1" s="90"/>
    <row r="866" ht="28" customHeight="1" s="90"/>
    <row r="867" ht="26" customHeight="1" s="90"/>
    <row r="868" ht="14" customHeight="1" s="90"/>
    <row r="869" ht="14" customHeight="1" s="90"/>
    <row r="870" ht="28" customHeight="1" s="90"/>
    <row r="871" ht="28" customHeight="1" s="90"/>
    <row r="872" ht="28" customHeight="1" s="90"/>
    <row r="873" ht="28" customHeight="1" s="90"/>
    <row r="874" ht="42" customHeight="1" s="90"/>
    <row r="875" ht="14" customHeight="1" s="90"/>
    <row r="876" ht="84" customHeight="1" s="90"/>
    <row r="877" ht="14" customHeight="1" s="90"/>
    <row r="878" ht="14" customHeight="1" s="90"/>
    <row r="879" ht="28" customHeight="1" s="90"/>
    <row r="880" ht="14" customHeight="1" s="90"/>
    <row r="881" ht="28" customHeight="1" s="90"/>
    <row r="882" ht="28" customHeight="1" s="90"/>
    <row r="883" ht="28" customHeight="1" s="90"/>
    <row r="884" ht="42" customHeight="1" s="90"/>
    <row r="885" ht="42" customHeight="1" s="90"/>
    <row r="886" ht="14" customHeight="1" s="90"/>
    <row r="887" ht="14" customHeight="1" s="90"/>
    <row r="888" ht="14" customHeight="1" s="90"/>
    <row r="889" ht="14" customHeight="1" s="90"/>
    <row r="890" ht="42" customHeight="1" s="90"/>
    <row r="891" ht="14" customHeight="1" s="90"/>
    <row r="892" ht="42" customHeight="1" s="90"/>
    <row r="893" ht="14" customHeight="1" s="90"/>
    <row r="894" ht="14" customHeight="1" s="90"/>
    <row r="895" ht="56" customHeight="1" s="90"/>
    <row r="896" ht="42" customHeight="1" s="90"/>
    <row r="897" ht="42" customHeight="1" s="90"/>
    <row r="898" ht="42" customHeight="1" s="90"/>
    <row r="899" ht="14" customHeight="1" s="90"/>
    <row r="900" ht="56" customHeight="1" s="90"/>
    <row r="901" ht="56" customHeight="1" s="90"/>
    <row r="902" ht="14" customHeight="1" s="90"/>
    <row r="903" ht="14" customHeight="1" s="90"/>
    <row r="904" ht="28" customHeight="1" s="90"/>
    <row r="905" ht="84" customHeight="1" s="90"/>
    <row r="906" ht="42" customHeight="1" s="90"/>
    <row r="907" ht="70" customHeight="1" s="90"/>
    <row r="908" ht="28" customHeight="1" s="90"/>
    <row r="909" ht="28" customHeight="1" s="90"/>
    <row r="910" ht="28" customHeight="1" s="90"/>
    <row r="911" ht="28" customHeight="1" s="90"/>
    <row r="912" ht="56" customHeight="1" s="90"/>
    <row r="913" ht="28" customHeight="1" s="90"/>
    <row r="914" ht="42" customHeight="1" s="90"/>
    <row r="915" ht="28" customHeight="1" s="90"/>
    <row r="916" ht="14" customHeight="1" s="90"/>
    <row r="917" ht="14" customHeight="1" s="90"/>
    <row r="918" ht="98" customHeight="1" s="90"/>
    <row r="919" ht="14" customHeight="1" s="90"/>
    <row r="920" ht="14" customHeight="1" s="90"/>
    <row r="921" ht="14" customHeight="1" s="90"/>
    <row r="922" ht="28" customHeight="1" s="90"/>
    <row r="923" ht="14" customHeight="1" s="90"/>
    <row r="924" ht="28" customHeight="1" s="90"/>
    <row r="925" ht="14" customHeight="1" s="90"/>
    <row r="926" ht="14" customHeight="1" s="90"/>
    <row r="927" ht="14" customHeight="1" s="90"/>
    <row r="928" ht="14" customHeight="1" s="90"/>
    <row r="929" ht="28" customHeight="1" s="90"/>
    <row r="930" ht="14" customHeight="1" s="90"/>
    <row r="931" ht="14" customHeight="1" s="90"/>
    <row r="932" ht="14" customHeight="1" s="90"/>
    <row r="933" ht="14" customHeight="1" s="90"/>
    <row r="934" ht="14" customHeight="1" s="90"/>
    <row r="935" ht="14" customHeight="1" s="90"/>
    <row r="936" ht="28" customHeight="1" s="90"/>
    <row r="937" ht="42" customHeight="1" s="90"/>
    <row r="938" ht="42" customHeight="1" s="90"/>
    <row r="939" ht="42" customHeight="1" s="90"/>
    <row r="940" ht="42" customHeight="1" s="90"/>
    <row r="941" ht="42" customHeight="1" s="90"/>
    <row r="942" ht="56" customHeight="1" s="90"/>
    <row r="943" ht="56" customHeight="1" s="90"/>
    <row r="944" ht="56" customHeight="1" s="90"/>
    <row r="945" ht="42" customHeight="1" s="90"/>
    <row r="946" ht="42" customHeight="1" s="90"/>
    <row r="947" ht="42" customHeight="1" s="90"/>
    <row r="948" ht="42" customHeight="1" s="90"/>
    <row r="949" ht="42" customHeight="1" s="90"/>
    <row r="950" ht="56" customHeight="1" s="90"/>
    <row r="951" ht="42" customHeight="1" s="90"/>
    <row r="952" ht="42" customHeight="1" s="90"/>
    <row r="953" ht="42" customHeight="1" s="90"/>
    <row r="954" ht="42" customHeight="1" s="90"/>
    <row r="955" ht="42" customHeight="1" s="90"/>
    <row r="956" ht="42" customHeight="1" s="90"/>
    <row r="957" ht="42" customHeight="1" s="90"/>
    <row r="958" ht="42" customHeight="1" s="90"/>
    <row r="959" ht="42" customHeight="1" s="90"/>
    <row r="960" ht="42" customHeight="1" s="90"/>
    <row r="961" ht="42" customHeight="1" s="90"/>
    <row r="962" ht="42" customHeight="1" s="90"/>
    <row r="963" ht="42" customHeight="1" s="90"/>
    <row r="964" ht="42" customHeight="1" s="90"/>
    <row r="965" ht="42" customHeight="1" s="90"/>
    <row r="966" ht="42" customHeight="1" s="90"/>
    <row r="967" ht="42" customHeight="1" s="90"/>
    <row r="968" ht="42" customHeight="1" s="90"/>
    <row r="969" ht="42" customHeight="1" s="90"/>
    <row r="970" ht="42" customHeight="1" s="90"/>
    <row r="971" ht="42" customHeight="1" s="90"/>
    <row r="972" ht="42" customHeight="1" s="90"/>
    <row r="973" ht="42" customHeight="1" s="90"/>
    <row r="974" ht="42" customHeight="1" s="90"/>
    <row r="975" ht="42" customHeight="1" s="90"/>
    <row r="976" ht="42" customHeight="1" s="90"/>
    <row r="977" ht="42" customHeight="1" s="90"/>
    <row r="978" ht="42" customHeight="1" s="90"/>
    <row r="979" ht="42" customHeight="1" s="90"/>
    <row r="980" ht="42" customHeight="1" s="90"/>
    <row r="981" ht="42" customHeight="1" s="90"/>
    <row r="982" ht="42" customHeight="1" s="90"/>
    <row r="983" ht="42" customHeight="1" s="90"/>
    <row r="984" ht="42" customHeight="1" s="90"/>
    <row r="985" ht="42" customHeight="1" s="90"/>
    <row r="986" ht="42" customHeight="1" s="90"/>
    <row r="987" ht="42" customHeight="1" s="90"/>
    <row r="988" ht="42" customHeight="1" s="90"/>
    <row r="989" ht="42" customHeight="1" s="90"/>
    <row r="990" ht="42" customHeight="1" s="90"/>
    <row r="991" ht="42" customHeight="1" s="90"/>
    <row r="992" ht="42" customHeight="1" s="90"/>
    <row r="993" ht="42" customHeight="1" s="90"/>
    <row r="994" ht="42" customHeight="1" s="90"/>
    <row r="995" ht="42" customHeight="1" s="90"/>
    <row r="996" ht="42" customHeight="1" s="90"/>
    <row r="997" ht="42" customHeight="1" s="90"/>
    <row r="998" ht="42" customHeight="1" s="90"/>
    <row r="999" ht="42" customHeight="1" s="90"/>
    <row r="1000" ht="42" customHeight="1" s="90"/>
    <row r="1001" ht="42" customHeight="1" s="90"/>
    <row r="1002" ht="28" customHeight="1" s="90"/>
    <row r="1003" ht="28" customHeight="1" s="90"/>
    <row r="1004" ht="28" customHeight="1" s="90"/>
    <row r="1005" ht="28" customHeight="1" s="90"/>
    <row r="1006" ht="28" customHeight="1" s="90"/>
    <row r="1007" ht="84" customHeight="1" s="90"/>
    <row r="1008" ht="28" customHeight="1" s="90"/>
    <row r="1009" ht="56" customHeight="1" s="90"/>
    <row r="1010" ht="28" customHeight="1" s="90"/>
    <row r="1011" ht="28" customHeight="1" s="90"/>
    <row r="1012" ht="42" customHeight="1" s="90"/>
    <row r="1013" ht="42" customHeight="1" s="90"/>
    <row r="1014" ht="42" customHeight="1" s="90"/>
    <row r="1015" ht="42" customHeight="1" s="90"/>
    <row r="1016" ht="42" customHeight="1" s="90"/>
    <row r="1017" ht="42" customHeight="1" s="90"/>
    <row r="1018" ht="56" customHeight="1" s="90"/>
    <row r="1019" ht="42" customHeight="1" s="90"/>
    <row r="1020" ht="42" customHeight="1" s="90"/>
    <row r="1021" ht="42" customHeight="1" s="90"/>
    <row r="1022" ht="70" customHeight="1" s="90"/>
    <row r="1023" ht="56" customHeight="1" s="90"/>
    <row r="1024" ht="42" customHeight="1" s="90"/>
    <row r="1025" ht="42" customHeight="1" s="90"/>
    <row r="1026" ht="42" customHeight="1" s="90"/>
    <row r="1027" ht="42" customHeight="1" s="90"/>
    <row r="1028" ht="42" customHeight="1" s="90"/>
    <row r="1029" ht="42" customHeight="1" s="90"/>
    <row r="1030" ht="42" customHeight="1" s="90"/>
    <row r="1031" ht="42" customHeight="1" s="90"/>
    <row r="1032" ht="42" customHeight="1" s="90"/>
    <row r="1033" ht="42" customHeight="1" s="90"/>
    <row r="1034" ht="42" customHeight="1" s="90"/>
    <row r="1035" ht="42" customHeight="1" s="90"/>
    <row r="1036" ht="42" customHeight="1" s="90"/>
    <row r="1037" ht="42" customHeight="1" s="90"/>
    <row r="1038" ht="84" customHeight="1" s="90"/>
    <row r="1039" ht="42" customHeight="1" s="90"/>
    <row r="1040" ht="42" customHeight="1" s="90"/>
    <row r="1041" ht="42" customHeight="1" s="90"/>
    <row r="1042" ht="56" customHeight="1" s="90"/>
    <row r="1043" ht="42" customHeight="1" s="90"/>
    <row r="1044" ht="42" customHeight="1" s="90"/>
    <row r="1045" ht="42" customHeight="1" s="90"/>
    <row r="1046" ht="42" customHeight="1" s="90"/>
    <row r="1047" ht="42" customHeight="1" s="90"/>
    <row r="1048" ht="42" customHeight="1" s="90"/>
    <row r="1049" ht="56" customHeight="1" s="90"/>
    <row r="1050" ht="42" customHeight="1" s="90"/>
    <row r="1051" ht="42" customHeight="1" s="90"/>
    <row r="1052" ht="42" customHeight="1" s="90"/>
    <row r="1053" ht="42" customHeight="1" s="90"/>
    <row r="1054" ht="42" customHeight="1" s="90"/>
    <row r="1055" ht="70" customHeight="1" s="90"/>
    <row r="1056" ht="28" customHeight="1" s="90"/>
    <row r="1057" ht="42" customHeight="1" s="90"/>
    <row r="1058" ht="28" customHeight="1" s="90"/>
    <row r="1059" ht="28" customHeight="1" s="90"/>
    <row r="1060" ht="28" customHeight="1" s="90"/>
    <row r="1061" ht="28" customHeight="1" s="90"/>
    <row r="1062" ht="28" customHeight="1" s="90"/>
    <row r="1063" ht="28" customHeight="1" s="90"/>
    <row r="1064" ht="28" customHeight="1" s="90"/>
    <row r="1065" ht="28" customHeight="1" s="90"/>
    <row r="1066" ht="28" customHeight="1" s="90"/>
    <row r="1067" ht="56" customHeight="1" s="90"/>
    <row r="1068" ht="28" customHeight="1" s="90"/>
    <row r="1069" ht="42" customHeight="1" s="90"/>
    <row r="1070" ht="28" customHeight="1" s="90"/>
    <row r="1071" ht="28" customHeight="1" s="90"/>
    <row r="1072" ht="28" customHeight="1" s="90"/>
    <row r="1073" ht="28" customHeight="1" s="90"/>
    <row r="1074" ht="28" customHeight="1" s="90"/>
    <row r="1075" ht="28" customHeight="1" s="90"/>
    <row r="1076" ht="28" customHeight="1" s="90"/>
    <row r="1077" ht="28" customHeight="1" s="90"/>
    <row r="1078" ht="28" customHeight="1" s="90"/>
    <row r="1079" ht="28" customHeight="1" s="90"/>
    <row r="1080" ht="28" customHeight="1" s="90"/>
    <row r="1081" ht="28" customHeight="1" s="90"/>
    <row r="1082" ht="28" customHeight="1" s="90"/>
    <row r="1083" ht="28" customHeight="1" s="90"/>
    <row r="1084" ht="28" customHeight="1" s="90"/>
    <row r="1085" ht="28" customHeight="1" s="90"/>
    <row r="1086" ht="28" customHeight="1" s="90"/>
    <row r="1087" ht="28" customHeight="1" s="90"/>
    <row r="1088" ht="28" customHeight="1" s="90"/>
    <row r="1089" ht="28" customHeight="1" s="90"/>
    <row r="1090" ht="28" customHeight="1" s="90"/>
    <row r="1091" ht="28" customHeight="1" s="90"/>
    <row r="1092" ht="28" customHeight="1" s="90"/>
    <row r="1093" ht="28" customHeight="1" s="90"/>
    <row r="1094" ht="28" customHeight="1" s="90"/>
    <row r="1095" ht="28" customHeight="1" s="90"/>
    <row r="1096" ht="28" customHeight="1" s="90"/>
    <row r="1097" ht="28" customHeight="1" s="90"/>
    <row r="1098" ht="14" customHeight="1" s="90"/>
    <row r="1099" ht="28" customHeight="1" s="90"/>
    <row r="1100" ht="28" customHeight="1" s="90"/>
    <row r="1101" ht="28" customHeight="1" s="90"/>
    <row r="1102" ht="28" customHeight="1" s="90"/>
    <row r="1103" ht="42" customHeight="1" s="90"/>
    <row r="1104" ht="28" customHeight="1" s="90"/>
    <row r="1105" ht="42" customHeight="1" s="90"/>
    <row r="1106" ht="28" customHeight="1" s="90"/>
    <row r="1107" ht="28" customHeight="1" s="90"/>
    <row r="1108" ht="28" customHeight="1" s="90"/>
    <row r="1109" ht="28" customHeight="1" s="90"/>
    <row r="1110" ht="28" customHeight="1" s="90"/>
    <row r="1111" ht="28" customHeight="1" s="90"/>
    <row r="1112" ht="28" customHeight="1" s="90"/>
    <row r="1113" ht="28" customHeight="1" s="90"/>
    <row r="1114" ht="84" customHeight="1" s="90"/>
    <row r="1115" ht="28" customHeight="1" s="90"/>
    <row r="1116" ht="28" customHeight="1" s="90"/>
    <row r="1117" ht="28" customHeight="1" s="90"/>
    <row r="1118" ht="42" customHeight="1" s="90"/>
    <row r="1119" ht="42" customHeight="1" s="90"/>
    <row r="1120" ht="42" customHeight="1" s="90"/>
    <row r="1121" ht="42" customHeight="1" s="90"/>
    <row r="1122" ht="42" customHeight="1" s="90"/>
    <row r="1123" ht="42" customHeight="1" s="90"/>
    <row r="1124" ht="42" customHeight="1" s="90"/>
    <row r="1125" ht="42" customHeight="1" s="90"/>
    <row r="1126" ht="42" customHeight="1" s="90"/>
    <row r="1127" ht="42" customHeight="1" s="90"/>
    <row r="1128" ht="42" customHeight="1" s="90"/>
    <row r="1129" ht="42" customHeight="1" s="90"/>
    <row r="1130" ht="42" customHeight="1" s="90"/>
    <row r="1131" ht="42" customHeight="1" s="90"/>
    <row r="1132" ht="42" customHeight="1" s="90"/>
    <row r="1133" ht="42" customHeight="1" s="90"/>
    <row r="1134" ht="42" customHeight="1" s="90"/>
    <row r="1135" ht="42" customHeight="1" s="90"/>
    <row r="1136" ht="42" customHeight="1" s="90"/>
    <row r="1137" ht="42" customHeight="1" s="90"/>
    <row r="1138" ht="42" customHeight="1" s="90"/>
    <row r="1139" ht="70" customHeight="1" s="90"/>
    <row r="1140" ht="42" customHeight="1" s="90"/>
    <row r="1141" ht="56" customHeight="1" s="90"/>
    <row r="1142" ht="42" customHeight="1" s="90"/>
    <row r="1143" ht="42" customHeight="1" s="90"/>
    <row r="1144" ht="42" customHeight="1" s="90"/>
    <row r="1145" ht="42" customHeight="1" s="90"/>
    <row r="1146" ht="42" customHeight="1" s="90"/>
    <row r="1147" ht="42" customHeight="1" s="90"/>
    <row r="1148" ht="42" customHeight="1" s="90"/>
    <row r="1149" ht="42" customHeight="1" s="90"/>
    <row r="1150" ht="42" customHeight="1" s="90"/>
    <row r="1151" ht="42" customHeight="1" s="90"/>
    <row r="1152" ht="42" customHeight="1" s="90"/>
    <row r="1153" ht="42" customHeight="1" s="90"/>
    <row r="1154" ht="42" customHeight="1" s="90"/>
    <row r="1155" ht="42" customHeight="1" s="90"/>
    <row r="1156" ht="42" customHeight="1" s="90"/>
    <row r="1157" ht="42" customHeight="1" s="90"/>
    <row r="1158" ht="42" customHeight="1" s="90"/>
    <row r="1159" ht="42" customHeight="1" s="90"/>
    <row r="1160" ht="42" customHeight="1" s="90"/>
    <row r="1161" ht="42" customHeight="1" s="90"/>
    <row r="1162" ht="42" customHeight="1" s="90"/>
    <row r="1163" ht="42" customHeight="1" s="90"/>
    <row r="1164" ht="42" customHeight="1" s="90"/>
    <row r="1165" ht="42" customHeight="1" s="90"/>
    <row r="1166" ht="42" customHeight="1" s="90"/>
    <row r="1167" ht="42" customHeight="1" s="90"/>
    <row r="1168" ht="42" customHeight="1" s="90"/>
    <row r="1169" ht="42" customHeight="1" s="90"/>
    <row r="1170" ht="42" customHeight="1" s="90"/>
    <row r="1171" ht="42" customHeight="1" s="90"/>
    <row r="1172" ht="42" customHeight="1" s="90"/>
    <row r="1173" ht="42" customHeight="1" s="90"/>
    <row r="1174" ht="42" customHeight="1" s="90"/>
    <row r="1175" ht="42" customHeight="1" s="90"/>
    <row r="1176" ht="42" customHeight="1" s="90"/>
    <row r="1177" ht="42" customHeight="1" s="90"/>
    <row r="1178" ht="42" customHeight="1" s="90"/>
    <row r="1179" ht="42" customHeight="1" s="90"/>
    <row r="1180" ht="42" customHeight="1" s="90"/>
    <row r="1181" ht="98" customHeight="1" s="90"/>
    <row r="1182" ht="42" customHeight="1" s="90"/>
    <row r="1183" ht="42" customHeight="1" s="90"/>
    <row r="1184" ht="42" customHeight="1" s="90"/>
    <row r="1185" ht="42" customHeight="1" s="90"/>
    <row r="1186" ht="42" customHeight="1" s="90"/>
    <row r="1187" ht="42" customHeight="1" s="90"/>
    <row r="1188" ht="42" customHeight="1" s="90"/>
    <row r="1189" ht="70" customHeight="1" s="90"/>
    <row r="1190" ht="42" customHeight="1" s="90"/>
    <row r="1191" ht="42" customHeight="1" s="90"/>
    <row r="1192" ht="42" customHeight="1" s="90"/>
    <row r="1193" ht="42" customHeight="1" s="90"/>
    <row r="1194" ht="42" customHeight="1" s="90"/>
    <row r="1195" ht="42" customHeight="1" s="90"/>
    <row r="1196" ht="42" customHeight="1" s="90"/>
    <row r="1197" ht="42" customHeight="1" s="90"/>
    <row r="1198" ht="42" customHeight="1" s="90"/>
    <row r="1199" ht="42" customHeight="1" s="90"/>
    <row r="1200" ht="42" customHeight="1" s="90"/>
    <row r="1201" ht="42" customHeight="1" s="90"/>
    <row r="1202" ht="42" customHeight="1" s="90"/>
    <row r="1203" ht="42" customHeight="1" s="90"/>
    <row r="1204" ht="42" customHeight="1" s="90"/>
    <row r="1205" ht="28" customHeight="1" s="90"/>
    <row r="1206" ht="42" customHeight="1" s="90"/>
    <row r="1207" ht="28" customHeight="1" s="90"/>
    <row r="1208" ht="28" customHeight="1" s="90"/>
    <row r="1209" ht="28" customHeight="1" s="90"/>
    <row r="1210" ht="28" customHeight="1" s="90"/>
    <row r="1211" ht="70" customHeight="1" s="90"/>
    <row r="1212" ht="28" customHeight="1" s="90"/>
    <row r="1213" ht="56" customHeight="1" s="90"/>
    <row r="1214" ht="28" customHeight="1" s="90"/>
    <row r="1215" ht="28" customHeight="1" s="90"/>
    <row r="1216" ht="28" customHeight="1" s="90"/>
    <row r="1217" ht="28" customHeight="1" s="90"/>
    <row r="1218" ht="28" customHeight="1" s="90"/>
    <row r="1219" ht="28" customHeight="1" s="90"/>
    <row r="1220" ht="42" customHeight="1" s="90"/>
    <row r="1221" ht="28" customHeight="1" s="90"/>
    <row r="1222" ht="42" customHeight="1" s="90"/>
    <row r="1223" ht="28" customHeight="1" s="90"/>
    <row r="1224" ht="28" customHeight="1" s="90"/>
    <row r="1225" ht="28" customHeight="1" s="90"/>
    <row r="1226" ht="28" customHeight="1" s="90"/>
    <row r="1227" ht="28" customHeight="1" s="90"/>
    <row r="1228" ht="70" customHeight="1" s="90"/>
    <row r="1229" ht="28" customHeight="1" s="90"/>
    <row r="1230" ht="70" customHeight="1" s="90"/>
    <row r="1231" ht="28" customHeight="1" s="90"/>
    <row r="1232" ht="28" customHeight="1" s="90"/>
    <row r="1233" ht="14" customHeight="1" s="90"/>
    <row r="1234" ht="28" customHeight="1" s="90"/>
    <row r="1235" ht="28" customHeight="1" s="90"/>
    <row r="1236" ht="28" customHeight="1" s="90"/>
    <row r="1237" ht="14" customHeight="1" s="90"/>
    <row r="1238" ht="28" customHeight="1" s="90"/>
    <row r="1239" ht="28" customHeight="1" s="90"/>
    <row r="1240" ht="28" customHeight="1" s="90"/>
    <row r="1241" ht="28" customHeight="1" s="90"/>
    <row r="1242" ht="28" customHeight="1" s="90"/>
    <row r="1243" ht="14" customHeight="1" s="90"/>
    <row r="1244" ht="28" customHeight="1" s="90"/>
    <row r="1245" ht="28" customHeight="1" s="90"/>
    <row r="1246" ht="28" customHeight="1" s="90"/>
    <row r="1247" ht="14" customHeight="1" s="90"/>
    <row r="1248" ht="14" customHeight="1" s="90"/>
    <row r="1249" ht="14" customHeight="1" s="90"/>
    <row r="1250" ht="28" customHeight="1" s="90"/>
    <row r="1251" ht="14" customHeight="1" s="90"/>
    <row r="1252" ht="28" customHeight="1" s="90"/>
    <row r="1253" ht="42" customHeight="1" s="90"/>
    <row r="1254" ht="56" customHeight="1" s="90"/>
    <row r="1255" ht="42" customHeight="1" s="90"/>
    <row r="1256" ht="42" customHeight="1" s="90"/>
    <row r="1257" ht="28" customHeight="1" s="90"/>
    <row r="1258" ht="56" customHeight="1" s="90"/>
    <row r="1259" ht="42" customHeight="1" s="90"/>
    <row r="1260" ht="28" customHeight="1" s="90"/>
    <row r="1261" ht="28" customHeight="1" s="90"/>
    <row r="1262" ht="28" customHeight="1" s="90"/>
    <row r="1263" ht="42" customHeight="1" s="90"/>
    <row r="1264" ht="28" customHeight="1" s="90"/>
    <row r="1265" ht="28" customHeight="1" s="90"/>
    <row r="1266" ht="28" customHeight="1" s="90"/>
    <row r="1267" ht="28" customHeight="1" s="90"/>
    <row r="1268" ht="28" customHeight="1" s="90"/>
    <row r="1269" ht="28" customHeight="1" s="90"/>
    <row r="1270" ht="28" customHeight="1" s="90"/>
    <row r="1271" ht="28" customHeight="1" s="90"/>
    <row r="1272" ht="28" customHeight="1" s="90"/>
    <row r="1273" ht="28" customHeight="1" s="90"/>
    <row r="1274" ht="28" customHeight="1" s="90"/>
    <row r="1275" ht="28" customHeight="1" s="90"/>
    <row r="1276" ht="28" customHeight="1" s="90"/>
    <row r="1277" ht="28" customHeight="1" s="90"/>
    <row r="1278" ht="28" customHeight="1" s="90"/>
    <row r="1279" ht="28" customHeight="1" s="90"/>
    <row r="1280" ht="28" customHeight="1" s="90"/>
    <row r="1281" ht="28" customHeight="1" s="90"/>
    <row r="1282" ht="28" customHeight="1" s="90"/>
    <row r="1283" ht="28" customHeight="1" s="90"/>
    <row r="1284" ht="28" customHeight="1" s="90"/>
    <row r="1285" ht="28" customHeight="1" s="90"/>
    <row r="1286" ht="28" customHeight="1" s="90"/>
    <row r="1287" ht="42" customHeight="1" s="90"/>
    <row r="1288" ht="28" customHeight="1" s="90"/>
    <row r="1289" ht="28" customHeight="1" s="90"/>
    <row r="1290" ht="28" customHeight="1" s="90"/>
    <row r="1291" ht="28" customHeight="1" s="90"/>
    <row r="1292" ht="28" customHeight="1" s="90"/>
    <row r="1293" ht="28" customHeight="1" s="90"/>
    <row r="1294" ht="28" customHeight="1" s="90"/>
    <row r="1295" ht="28" customHeight="1" s="90"/>
    <row r="1296" ht="28" customHeight="1" s="90"/>
    <row r="1297" ht="28" customHeight="1" s="90"/>
    <row r="1298" ht="28" customHeight="1" s="90"/>
    <row r="1299" ht="28" customHeight="1" s="90"/>
    <row r="1300" ht="28" customHeight="1" s="90"/>
    <row r="1301" ht="28" customHeight="1" s="90"/>
    <row r="1302" ht="28" customHeight="1" s="90"/>
    <row r="1303" ht="28" customHeight="1" s="90"/>
    <row r="1304" ht="28" customHeight="1" s="90"/>
    <row r="1305" ht="28" customHeight="1" s="90"/>
    <row r="1306" ht="28" customHeight="1" s="90"/>
    <row r="1307" ht="28" customHeight="1" s="90"/>
    <row r="1308" ht="28" customHeight="1" s="90"/>
    <row r="1309" ht="42" customHeight="1" s="90"/>
    <row r="1310" ht="28" customHeight="1" s="90"/>
    <row r="1311" ht="28" customHeight="1" s="90"/>
    <row r="1312" ht="28" customHeight="1" s="90"/>
    <row r="1313" ht="28" customHeight="1" s="90"/>
    <row r="1314" ht="28" customHeight="1" s="90"/>
    <row r="1315" ht="28" customHeight="1" s="90"/>
    <row r="1316" ht="28" customHeight="1" s="90"/>
    <row r="1317" ht="28" customHeight="1" s="90"/>
    <row r="1318" ht="28" customHeight="1" s="90"/>
    <row r="1319" ht="28" customHeight="1" s="90"/>
    <row r="1320" ht="28" customHeight="1" s="90"/>
    <row r="1321" ht="28" customHeight="1" s="90"/>
    <row r="1322" ht="28" customHeight="1" s="90"/>
    <row r="1323" ht="70" customHeight="1" s="90"/>
    <row r="1324" ht="56" customHeight="1" s="90"/>
    <row r="1325" ht="56" customHeight="1" s="90"/>
    <row r="1326" ht="28" customHeight="1" s="90"/>
    <row r="1327" ht="28" customHeight="1" s="90"/>
    <row r="1328" ht="42" customHeight="1" s="90"/>
    <row r="1329" ht="28" customHeight="1" s="90"/>
    <row r="1330" ht="28" customHeight="1" s="90"/>
    <row r="1331" ht="84" customHeight="1" s="90"/>
    <row r="1332" ht="28" customHeight="1" s="90"/>
    <row r="1333" ht="56" customHeight="1" s="90"/>
    <row r="1334" ht="28" customHeight="1" s="90"/>
    <row r="1335" ht="28" customHeight="1" s="90"/>
    <row r="1336" ht="28" customHeight="1" s="90"/>
    <row r="1337" ht="28" customHeight="1" s="90"/>
    <row r="1338" ht="28" customHeight="1" s="90"/>
    <row r="1339" ht="28" customHeight="1" s="90"/>
    <row r="1340" ht="70" customHeight="1" s="90"/>
    <row r="1341" ht="28" customHeight="1" s="90"/>
    <row r="1342" ht="28" customHeight="1" s="90"/>
    <row r="1343" ht="28" customHeight="1" s="90"/>
    <row r="1344" ht="42" customHeight="1" s="90"/>
    <row r="1345" ht="28" customHeight="1" s="90"/>
    <row r="1346" ht="28" customHeight="1" s="90"/>
    <row r="1347" ht="28" customHeight="1" s="90"/>
    <row r="1348" ht="70" customHeight="1" s="90"/>
    <row r="1349" ht="28" customHeight="1" s="90"/>
    <row r="1350" ht="70" customHeight="1" s="90"/>
    <row r="1351" ht="42" customHeight="1" s="90"/>
    <row r="1352" ht="28" customHeight="1" s="90"/>
    <row r="1353" ht="28" customHeight="1" s="90"/>
    <row r="1354" ht="28" customHeight="1" s="90"/>
    <row r="1355" ht="42" customHeight="1" s="90"/>
    <row r="1356" ht="28" customHeight="1" s="90"/>
    <row r="1357" ht="28" customHeight="1" s="90"/>
    <row r="1358" ht="28" customHeight="1" s="90"/>
    <row r="1359" ht="28" customHeight="1" s="90"/>
    <row r="1360" ht="28" customHeight="1" s="90"/>
    <row r="1361" ht="56" customHeight="1" s="90"/>
    <row r="1362" ht="28" customHeight="1" s="90"/>
    <row r="1363" ht="42" customHeight="1" s="90"/>
    <row r="1364" ht="28" customHeight="1" s="90"/>
    <row r="1365" ht="28" customHeight="1" s="90"/>
    <row r="1366" ht="28" customHeight="1" s="90"/>
    <row r="1367" ht="42" customHeight="1" s="90"/>
    <row r="1368" ht="28" customHeight="1" s="90"/>
    <row r="1369" ht="28" customHeight="1" s="90"/>
    <row r="1370" ht="42" customHeight="1" s="90"/>
    <row r="1371" ht="28" customHeight="1" s="90"/>
    <row r="1372" ht="42" customHeight="1" s="90"/>
    <row r="1373" ht="56" customHeight="1" s="90"/>
    <row r="1374" ht="56" customHeight="1" s="90"/>
    <row r="1375" ht="28" customHeight="1" s="90"/>
    <row r="1376" ht="42" customHeight="1" s="90"/>
    <row r="1377" ht="42" customHeight="1" s="90"/>
    <row r="1378" ht="42" customHeight="1" s="90"/>
    <row r="1379" ht="28" customHeight="1" s="90"/>
    <row r="1380" ht="42" customHeight="1" s="90"/>
    <row r="1381" ht="42" customHeight="1" s="90"/>
    <row r="1382" ht="28" customHeight="1" s="90"/>
    <row r="1383" ht="28" customHeight="1" s="90"/>
    <row r="1384" ht="42" customHeight="1" s="90"/>
    <row r="1385" ht="28" customHeight="1" s="90"/>
    <row r="1386" ht="28" customHeight="1" s="90"/>
    <row r="1387" ht="28" customHeight="1" s="90"/>
    <row r="1388" ht="28" customHeight="1" s="90"/>
    <row r="1389" ht="28" customHeight="1" s="90"/>
    <row r="1390" ht="28" customHeight="1" s="90"/>
    <row r="1391" ht="28" customHeight="1" s="90"/>
    <row r="1392" ht="42" customHeight="1" s="90"/>
    <row r="1393" ht="28" customHeight="1" s="90"/>
    <row r="1394" ht="28" customHeight="1" s="90"/>
    <row r="1395" ht="28" customHeight="1" s="90"/>
    <row r="1396" ht="28" customHeight="1" s="90"/>
    <row r="1397" ht="28" customHeight="1" s="90"/>
    <row r="1398" ht="28" customHeight="1" s="90"/>
    <row r="1399" ht="28" customHeight="1" s="90"/>
    <row r="1400" ht="28" customHeight="1" s="90"/>
    <row r="1401" ht="28" customHeight="1" s="90"/>
    <row r="1402" ht="70" customHeight="1" s="90"/>
    <row r="1403" ht="28" customHeight="1" s="90"/>
    <row r="1404" ht="28" customHeight="1" s="90"/>
    <row r="1405" ht="28" customHeight="1" s="90"/>
    <row r="1406" ht="28" customHeight="1" s="90"/>
    <row r="1407" ht="42" customHeight="1" s="90"/>
    <row r="1408" ht="28" customHeight="1" s="90"/>
    <row r="1409" ht="28" customHeight="1" s="90"/>
    <row r="1410" ht="28" customHeight="1" s="90"/>
    <row r="1411" ht="28" customHeight="1" s="90"/>
    <row r="1412" ht="42" customHeight="1" s="90"/>
    <row r="1413" ht="28" customHeight="1" s="90"/>
    <row r="1414" ht="28" customHeight="1" s="90"/>
    <row r="1415" ht="28" customHeight="1" s="90"/>
    <row r="1416" ht="28" customHeight="1" s="90"/>
    <row r="1417" ht="28" customHeight="1" s="90"/>
    <row r="1418" ht="28" customHeight="1" s="90"/>
    <row r="1419" ht="28" customHeight="1" s="90"/>
    <row r="1420" ht="28" customHeight="1" s="90"/>
    <row r="1421" ht="28" customHeight="1" s="90"/>
    <row r="1422" ht="28" customHeight="1" s="90"/>
    <row r="1423" ht="28" customHeight="1" s="90"/>
    <row r="1424" ht="28" customHeight="1" s="90"/>
    <row r="1425" ht="28" customHeight="1" s="90"/>
    <row r="1426" ht="28" customHeight="1" s="90"/>
    <row r="1427" ht="42" customHeight="1" s="90"/>
    <row r="1428" ht="28" customHeight="1" s="90"/>
    <row r="1429" ht="56" customHeight="1" s="90"/>
    <row r="1430" ht="28" customHeight="1" s="90"/>
    <row r="1431" ht="28" customHeight="1" s="90"/>
    <row r="1432" ht="28" customHeight="1" s="90"/>
    <row r="1433" ht="28" customHeight="1" s="90"/>
    <row r="1434" ht="28" customHeight="1" s="90"/>
    <row r="1435" ht="28" customHeight="1" s="90"/>
    <row r="1436" ht="28" customHeight="1" s="90"/>
    <row r="1437" ht="28" customHeight="1" s="90"/>
    <row r="1438" ht="56" customHeight="1" s="90"/>
    <row r="1439" ht="28" customHeight="1" s="90"/>
    <row r="1440" ht="42" customHeight="1" s="90"/>
    <row r="1441" ht="28" customHeight="1" s="90"/>
    <row r="1442" ht="28" customHeight="1" s="90"/>
    <row r="1443" ht="28" customHeight="1" s="90"/>
    <row r="1444" ht="28" customHeight="1" s="90"/>
    <row r="1445" ht="56" customHeight="1" s="90"/>
    <row r="1446" ht="56" customHeight="1" s="90"/>
    <row r="1447" ht="28" customHeight="1" s="90"/>
    <row r="1448" ht="28" customHeight="1" s="90"/>
    <row r="1449" ht="28" customHeight="1" s="90"/>
    <row r="1450" ht="28" customHeight="1" s="90"/>
    <row r="1451" ht="28" customHeight="1" s="90"/>
    <row r="1452" ht="56" customHeight="1" s="90"/>
    <row r="1453" ht="28" customHeight="1" s="90"/>
    <row r="1454" ht="28" customHeight="1" s="90"/>
    <row r="1455" ht="56" customHeight="1" s="90"/>
    <row r="1456" ht="28" customHeight="1" s="90"/>
    <row r="1457" ht="98" customHeight="1" s="90"/>
    <row r="1458" ht="42" customHeight="1" s="90"/>
    <row r="1459" ht="42" customHeight="1" s="90"/>
    <row r="1460" ht="28" customHeight="1" s="90"/>
    <row r="1461" ht="28" customHeight="1" s="90"/>
    <row r="1462" ht="28" customHeight="1" s="90"/>
    <row r="1463" ht="28" customHeight="1" s="90"/>
    <row r="1464" ht="28" customHeight="1" s="90"/>
    <row r="1465" ht="28" customHeight="1" s="90"/>
    <row r="1466" ht="28" customHeight="1" s="90"/>
    <row r="1467" ht="56" customHeight="1" s="90"/>
    <row r="1468" ht="56" customHeight="1" s="90"/>
    <row r="1469" ht="70" customHeight="1" s="90"/>
    <row r="1470" ht="28" customHeight="1" s="90"/>
    <row r="1471" ht="28" customHeight="1" s="90"/>
    <row r="1472" ht="28" customHeight="1" s="90"/>
    <row r="1473" ht="28" customHeight="1" s="90"/>
    <row r="1474" ht="28" customHeight="1" s="90"/>
    <row r="1475" ht="28" customHeight="1" s="90"/>
    <row r="1476" ht="42" customHeight="1" s="90"/>
    <row r="1477" ht="42" customHeight="1" s="90"/>
    <row r="1478" ht="28" customHeight="1" s="90"/>
    <row r="1479" ht="28" customHeight="1" s="90"/>
    <row r="1480" ht="28" customHeight="1" s="90"/>
    <row r="1481" ht="42" customHeight="1" s="90"/>
    <row r="1482" ht="56" customHeight="1" s="90"/>
    <row r="1483" ht="28" customHeight="1" s="90"/>
    <row r="1484" ht="28" customHeight="1" s="90"/>
    <row r="1485" ht="28" customHeight="1" s="90"/>
    <row r="1486" ht="28" customHeight="1" s="90"/>
    <row r="1487" ht="28" customHeight="1" s="90"/>
    <row r="1488" ht="28" customHeight="1" s="90"/>
    <row r="1489" ht="28" customHeight="1" s="90"/>
    <row r="1490" ht="42" customHeight="1" s="90"/>
    <row r="1491" ht="28" customHeight="1" s="90"/>
    <row r="1492" ht="28" customHeight="1" s="90"/>
    <row r="1493" ht="28" customHeight="1" s="90"/>
    <row r="1494" ht="28" customHeight="1" s="90"/>
    <row r="1495" ht="28" customHeight="1" s="90"/>
    <row r="1496" ht="28" customHeight="1" s="90"/>
    <row r="1497" ht="28" customHeight="1" s="90"/>
    <row r="1498" ht="56" customHeight="1" s="90"/>
    <row r="1499" ht="42" customHeight="1" s="90"/>
    <row r="1500" ht="28" customHeight="1" s="90"/>
    <row r="1501" ht="28" customHeight="1" s="90"/>
    <row r="1502" ht="56" customHeight="1" s="90"/>
    <row r="1503" ht="56" customHeight="1" s="90"/>
    <row r="1504" ht="56" customHeight="1" s="90"/>
    <row r="1505" ht="28" customHeight="1" s="90"/>
    <row r="1506" ht="28" customHeight="1" s="90"/>
    <row r="1507" ht="28" customHeight="1" s="90"/>
    <row r="1508" ht="28" customHeight="1" s="90"/>
    <row r="1509" ht="42" customHeight="1" s="90"/>
    <row r="1510" ht="28" customHeight="1" s="90"/>
    <row r="1511" ht="56" customHeight="1" s="90"/>
    <row r="1512" ht="28" customHeight="1" s="90"/>
    <row r="1513" ht="70" customHeight="1" s="90"/>
    <row r="1514" ht="28" customHeight="1" s="90"/>
    <row r="1515" ht="56" customHeight="1" s="90"/>
    <row r="1516" ht="28" customHeight="1" s="90"/>
    <row r="1517" ht="28" customHeight="1" s="90"/>
    <row r="1518" ht="28" customHeight="1" s="90"/>
    <row r="1519" ht="28" customHeight="1" s="90"/>
    <row r="1520" ht="28" customHeight="1" s="90"/>
    <row r="1521" ht="28" customHeight="1" s="90"/>
    <row r="1522" ht="28" customHeight="1" s="90"/>
    <row r="1523" ht="42" customHeight="1" s="90"/>
    <row r="1524" ht="84" customHeight="1" s="90"/>
    <row r="1525" ht="42" customHeight="1" s="90"/>
    <row r="1526" ht="42" customHeight="1" s="90"/>
    <row r="1527" ht="42" customHeight="1" s="90"/>
    <row r="1528" ht="56" customHeight="1" s="90"/>
    <row r="1529" ht="42" customHeight="1" s="90"/>
    <row r="1530" ht="84" customHeight="1" s="90"/>
    <row r="1531" ht="28" customHeight="1" s="90"/>
    <row r="1532" ht="42" customHeight="1" s="90"/>
    <row r="1533" ht="28" customHeight="1" s="90"/>
    <row r="1534" ht="42" customHeight="1" s="90"/>
    <row r="1535" ht="42" customHeight="1" s="90"/>
    <row r="1536" ht="28" customHeight="1" s="90"/>
    <row r="1537" ht="28" customHeight="1" s="90"/>
    <row r="1538" ht="14" customHeight="1" s="90"/>
    <row r="1539" ht="28" customHeight="1" s="90"/>
    <row r="1540" ht="28" customHeight="1" s="90"/>
    <row r="1541" ht="28" customHeight="1" s="90"/>
    <row r="1542" ht="28" customHeight="1" s="90"/>
    <row r="1543" ht="14" customHeight="1" s="90"/>
    <row r="1544" ht="28" customHeight="1" s="90"/>
    <row r="1545" ht="14" customHeight="1" s="90"/>
    <row r="1546" ht="14" customHeight="1" s="90"/>
    <row r="1547" ht="28" customHeight="1" s="90"/>
    <row r="1548" ht="28" customHeight="1" s="90"/>
    <row r="1549" ht="14" customHeight="1" s="90"/>
    <row r="1550" ht="14" customHeight="1" s="90"/>
    <row r="1551" ht="98" customHeight="1" s="90"/>
    <row r="1552" ht="28" customHeight="1" s="90"/>
    <row r="1553" ht="14" customHeight="1" s="90"/>
    <row r="1554" ht="14" customHeight="1" s="90"/>
    <row r="1555" ht="42" customHeight="1" s="90"/>
    <row r="1556" ht="28" customHeight="1" s="90"/>
    <row r="1557" ht="14" customHeight="1" s="90"/>
    <row r="1558" ht="14" customHeight="1" s="90"/>
    <row r="1559" ht="14" customHeight="1" s="90"/>
    <row r="1560" ht="28" customHeight="1" s="90"/>
    <row r="1561" ht="42" customHeight="1" s="90"/>
    <row r="1562" ht="14" customHeight="1" s="90"/>
    <row r="1563" ht="28" customHeight="1" s="90"/>
    <row r="1564" ht="14" customHeight="1" s="90"/>
    <row r="1565" ht="14" customHeight="1" s="90"/>
    <row r="1566" ht="28" customHeight="1" s="90"/>
    <row r="1567" ht="28" customHeight="1" s="90"/>
    <row r="1568" ht="56" customHeight="1" s="90"/>
    <row r="1569" ht="42" customHeight="1" s="90"/>
    <row r="1570" ht="28" customHeight="1" s="90"/>
    <row r="1571" ht="42" customHeight="1" s="90"/>
    <row r="1572" ht="14" customHeight="1" s="90"/>
    <row r="1573" ht="28" customHeight="1" s="90"/>
    <row r="1574" ht="14" customHeight="1" s="90"/>
    <row r="1575" ht="28" customHeight="1" s="90"/>
    <row r="1576" ht="14" customHeight="1" s="90"/>
    <row r="1577" ht="42" customHeight="1" s="90"/>
    <row r="1578" ht="14" customHeight="1" s="90"/>
    <row r="1579" ht="14" customHeight="1" s="90"/>
    <row r="1580" ht="14" customHeight="1" s="90"/>
    <row r="1581" ht="28" customHeight="1" s="90"/>
    <row r="1582" ht="14" customHeight="1" s="90"/>
    <row r="1583" ht="28" customHeight="1" s="90"/>
    <row r="1584" ht="14" customHeight="1" s="90"/>
    <row r="1585" ht="28" customHeight="1" s="90"/>
    <row r="1586" ht="28" customHeight="1" s="90"/>
    <row r="1587" ht="28" customHeight="1" s="90"/>
    <row r="1588" ht="28" customHeight="1" s="90"/>
    <row r="1589" ht="28" customHeight="1" s="90"/>
    <row r="1590" ht="28" customHeight="1" s="90"/>
    <row r="1591" ht="28" customHeight="1" s="90"/>
    <row r="1592" ht="42" customHeight="1" s="90"/>
    <row r="1593" ht="28" customHeight="1" s="90"/>
    <row r="1594" ht="28" customHeight="1" s="90"/>
    <row r="1595" ht="28" customHeight="1" s="90"/>
    <row r="1596" ht="42" customHeight="1" s="90"/>
    <row r="1597" ht="28" customHeight="1" s="90"/>
    <row r="1598" ht="28" customHeight="1" s="90"/>
    <row r="1599" ht="28" customHeight="1" s="90"/>
    <row r="1600" ht="56" customHeight="1" s="90"/>
    <row r="1601" ht="28" customHeight="1" s="90"/>
    <row r="1602" ht="56" customHeight="1" s="90"/>
    <row r="1603" ht="28" customHeight="1" s="90"/>
    <row r="1604" ht="28" customHeight="1" s="90"/>
    <row r="1605" ht="28" customHeight="1" s="90"/>
    <row r="1606" ht="28" customHeight="1" s="90"/>
    <row r="1607" ht="42" customHeight="1" s="90"/>
    <row r="1608" ht="28" customHeight="1" s="90"/>
    <row r="1609" ht="28" customHeight="1" s="90"/>
    <row r="1610" ht="28" customHeight="1" s="90"/>
    <row r="1611" ht="70" customHeight="1" s="90"/>
    <row r="1612" ht="28" customHeight="1" s="90"/>
    <row r="1613" ht="28" customHeight="1" s="90"/>
    <row r="1614" ht="70" customHeight="1" s="90"/>
    <row r="1615" ht="28" customHeight="1" s="90"/>
    <row r="1616" ht="56" customHeight="1" s="90"/>
    <row r="1617" ht="28" customHeight="1" s="90"/>
    <row r="1618" ht="28" customHeight="1" s="90"/>
    <row r="1619" ht="84" customHeight="1" s="90"/>
    <row r="1620" ht="84" customHeight="1" s="90"/>
    <row r="1621" ht="98" customHeight="1" s="90"/>
    <row r="1622" ht="98" customHeight="1" s="90"/>
    <row r="1623" ht="98" customHeight="1" s="90"/>
    <row r="1624" ht="42" customHeight="1" s="90"/>
    <row r="1625" ht="28" customHeight="1" s="90"/>
    <row r="1626" ht="28" customHeight="1" s="90"/>
    <row r="1627" ht="42" customHeight="1" s="90"/>
    <row r="1628" ht="28" customHeight="1" s="90"/>
    <row r="1629" ht="28" customHeight="1" s="90"/>
    <row r="1630" ht="56" customHeight="1" s="90"/>
    <row r="1631" ht="28" customHeight="1" s="90"/>
    <row r="1632" ht="56" customHeight="1" s="90"/>
    <row r="1633" ht="28" customHeight="1" s="90"/>
    <row r="1634" ht="28" customHeight="1" s="90"/>
    <row r="1635" ht="42" customHeight="1" s="90"/>
    <row r="1636" ht="70" customHeight="1" s="90"/>
    <row r="1637" ht="28" customHeight="1" s="90"/>
    <row r="1638" ht="28" customHeight="1" s="90"/>
    <row r="1639" ht="28" customHeight="1" s="90"/>
    <row r="1640" ht="56" customHeight="1" s="90"/>
    <row r="1641" ht="56" customHeight="1" s="90"/>
    <row r="1642" ht="28" customHeight="1" s="90"/>
    <row r="1643" ht="28" customHeight="1" s="90"/>
    <row r="1644" ht="28" customHeight="1" s="90"/>
    <row r="1645" ht="28" customHeight="1" s="90"/>
    <row r="1646" ht="28" customHeight="1" s="90"/>
    <row r="1647" ht="28" customHeight="1" s="90"/>
    <row r="1648" ht="28" customHeight="1" s="90"/>
    <row r="1649" ht="42" customHeight="1" s="90"/>
    <row r="1650" ht="28" customHeight="1" s="90"/>
    <row r="1651" ht="28" customHeight="1" s="90"/>
    <row r="1652" ht="28" customHeight="1" s="90"/>
    <row r="1653" ht="28" customHeight="1" s="90"/>
    <row r="1654" ht="28" customHeight="1" s="90"/>
    <row r="1655" ht="42" customHeight="1" s="90"/>
    <row r="1656" ht="28" customHeight="1" s="90"/>
    <row r="1657" ht="28" customHeight="1" s="90"/>
    <row r="1658" ht="42" customHeight="1" s="90"/>
    <row r="1659" ht="28" customHeight="1" s="90"/>
    <row r="1660" ht="28" customHeight="1" s="90"/>
    <row r="1661" ht="28" customHeight="1" s="90"/>
    <row r="1662" ht="28" customHeight="1" s="90"/>
    <row r="1663" ht="28" customHeight="1" s="90"/>
    <row r="1664" ht="56" customHeight="1" s="90"/>
    <row r="1665" ht="28" customHeight="1" s="90"/>
    <row r="1666" ht="28" customHeight="1" s="90"/>
    <row r="1667" ht="28" customHeight="1" s="90"/>
    <row r="1668" ht="28" customHeight="1" s="90"/>
    <row r="1669" ht="28" customHeight="1" s="90"/>
    <row r="1670" ht="56" customHeight="1" s="90"/>
    <row r="1671" ht="28" customHeight="1" s="90"/>
    <row r="1672" ht="56" customHeight="1" s="90"/>
    <row r="1673" ht="56" customHeight="1" s="90"/>
    <row r="1674" ht="28" customHeight="1" s="90"/>
    <row r="1675" ht="28" customHeight="1" s="90"/>
    <row r="1676" ht="28" customHeight="1" s="90"/>
    <row r="1677" ht="28" customHeight="1" s="90"/>
    <row r="1678" ht="28" customHeight="1" s="90"/>
    <row r="1679" ht="70" customHeight="1" s="90"/>
    <row r="1680" ht="28" customHeight="1" s="90"/>
    <row r="1681" ht="42" customHeight="1" s="90"/>
    <row r="1682" ht="42" customHeight="1" s="90"/>
    <row r="1683" ht="42" customHeight="1" s="90"/>
    <row r="1684" ht="70" customHeight="1" s="90"/>
    <row r="1685" ht="28" customHeight="1" s="90"/>
    <row r="1686" ht="70" customHeight="1" s="90"/>
    <row r="1687" ht="28" customHeight="1" s="90"/>
    <row r="1688" ht="70" customHeight="1" s="90"/>
    <row r="1689" ht="28" customHeight="1" s="90"/>
    <row r="1690" ht="42" customHeight="1" s="90"/>
    <row r="1691" ht="28" customHeight="1" s="90"/>
    <row r="1692" ht="42" customHeight="1" s="90"/>
    <row r="1693" ht="28" customHeight="1" s="90"/>
    <row r="1694" ht="28" customHeight="1" s="90"/>
    <row r="1695" ht="28" customHeight="1" s="90"/>
    <row r="1696" ht="70" customHeight="1" s="90"/>
    <row r="1697" ht="42" customHeight="1" s="90"/>
    <row r="1698" ht="70" customHeight="1" s="90"/>
    <row r="1699" ht="28" customHeight="1" s="90"/>
    <row r="1700" ht="70" customHeight="1" s="90"/>
    <row r="1701" ht="28" customHeight="1" s="90"/>
    <row r="1702" ht="70" customHeight="1" s="90"/>
    <row r="1703" ht="28" customHeight="1" s="90"/>
    <row r="1704" ht="70" customHeight="1" s="90"/>
    <row r="1705" ht="56" customHeight="1" s="90"/>
    <row r="1706" ht="42" customHeight="1" s="90"/>
    <row r="1707" ht="42" customHeight="1" s="90"/>
    <row r="1708" ht="42" customHeight="1" s="90"/>
    <row r="1709" ht="28" customHeight="1" s="90"/>
    <row r="1710" ht="28" customHeight="1" s="90"/>
    <row r="1711" ht="28" customHeight="1" s="90"/>
    <row r="1712" ht="42" customHeight="1" s="90"/>
    <row r="1713" ht="56" customHeight="1" s="90"/>
    <row r="1714" ht="56" customHeight="1" s="90"/>
    <row r="1715" ht="56" customHeight="1" s="90"/>
    <row r="1716" ht="28" customHeight="1" s="90"/>
    <row r="1717" ht="14" customHeight="1" s="90"/>
    <row r="1718" ht="56" customHeight="1" s="90"/>
    <row r="1719" ht="42" customHeight="1" s="90"/>
    <row r="1720" ht="42" customHeight="1" s="90"/>
    <row r="1721" ht="42" customHeight="1" s="90"/>
    <row r="1722" ht="42" customHeight="1" s="90"/>
    <row r="1723" ht="42" customHeight="1" s="90"/>
    <row r="1724" ht="56" customHeight="1" s="90"/>
    <row r="1725" ht="42" customHeight="1" s="90"/>
    <row r="1726" ht="42" customHeight="1" s="90"/>
    <row r="1727" ht="98" customHeight="1" s="90"/>
    <row r="1728" ht="42" customHeight="1" s="90"/>
    <row r="1729" ht="42" customHeight="1" s="90"/>
    <row r="1730" ht="42" customHeight="1" s="90"/>
    <row r="1731" ht="42" customHeight="1" s="90"/>
    <row r="1732" ht="56" customHeight="1" s="90"/>
    <row r="1733" ht="42" customHeight="1" s="90"/>
    <row r="1734" ht="56" customHeight="1" s="90"/>
    <row r="1735" ht="42" customHeight="1" s="90"/>
    <row r="1736" ht="56" customHeight="1" s="90"/>
    <row r="1737" ht="42" customHeight="1" s="90"/>
    <row r="1738" ht="42" customHeight="1" s="90"/>
    <row r="1739" ht="42" customHeight="1" s="90"/>
    <row r="1740" ht="42" customHeight="1" s="90"/>
    <row r="1741" ht="42" customHeight="1" s="90"/>
    <row r="1742" ht="42" customHeight="1" s="90"/>
    <row r="1743" ht="56" customHeight="1" s="90"/>
    <row r="1744" ht="14" customHeight="1" s="90"/>
    <row r="1745" ht="28" customHeight="1" s="90"/>
    <row r="1746" ht="14" customHeight="1" s="90"/>
    <row r="1747" ht="28" customHeight="1" s="90"/>
    <row r="1748" ht="14" customHeight="1" s="90"/>
  </sheetData>
  <sheetProtection selectLockedCells="1" selectUnlockedCells="0" algorithmName="SHA-512" sheet="1" objects="1" insertRows="0" insertHyperlinks="1" autoFilter="0" scenarios="1" formatColumns="1" deleteColumns="1" insertColumns="0" pivotTables="1" deleteRows="1" formatCells="1" saltValue="bjJ+U23bjDLzhtwUTA3M2A==" formatRows="1" sort="1" spinCount="100000" hashValue="F2Xe9sw0tGVcXl1AwApnkIJdTwH5lNv8oQe6Tp7/r5vPmYa3mfFa1rFAqAZJVVHall7hjlTMSIVhBB1iMCYw9w=="/>
  <autoFilter ref="A5:Q1748"/>
  <conditionalFormatting sqref="A1:Q99 A100:P100 A101:Q102 A103:P103 A104:Q220 A221:P221 A222:Q275 A276:P277 A278:Q1497 A1498:P1498 A1499:Q1749">
    <cfRule type="expression" priority="15" dxfId="9">
      <formula>IF($L1="No VFX",TRUE)</formula>
    </cfRule>
    <cfRule type="expression" priority="16" dxfId="8">
      <formula>IF($K1="ALLOWANCE",TRUE)</formula>
    </cfRule>
    <cfRule type="expression" priority="14" dxfId="12">
      <formula>IF($L1="VFX TBD",TRUE)</formula>
    </cfRule>
  </conditionalFormatting>
  <conditionalFormatting sqref="J6:J1749">
    <cfRule type="expression" priority="10" dxfId="9">
      <formula>IF(AND($I6&gt;0,$J6=""),TRUE)</formula>
    </cfRule>
  </conditionalFormatting>
  <conditionalFormatting sqref="K6:K1749 Q199 Q204 Q232 Q295 Q338 Q385 Q558 Q562 Q570 Q613 Q615 Q740 Q805 Q832">
    <cfRule type="expression" priority="11" dxfId="21">
      <formula>regexmatch($K6,"\?")</formula>
    </cfRule>
  </conditionalFormatting>
  <conditionalFormatting sqref="L399:L400 L404:L405 L412 L417:L418 L420 L428 L435 L444 L452 L454 L460 L463 L471 L476 L488 L494 L496 L508 L523 L525">
    <cfRule type="expression" priority="7" dxfId="8">
      <formula>IF($K400="ALLOWANCE",TRUE)</formula>
    </cfRule>
  </conditionalFormatting>
  <conditionalFormatting sqref="L699:L700">
    <cfRule type="expression" priority="9" dxfId="8">
      <formula>IF($K700="ALLOWANCE",TRUE)</formula>
    </cfRule>
  </conditionalFormatting>
  <conditionalFormatting sqref="L848:L850">
    <cfRule type="expression" priority="8" dxfId="8">
      <formula>IF(#REF!="ALLOWANCE",TRUE)</formula>
    </cfRule>
  </conditionalFormatting>
  <conditionalFormatting sqref="Q6:Q99 Q101:Q102 Q104:Q220 Q222:Q275 Q277:Q1497 Q1499:Q1749">
    <cfRule type="containsText" priority="13" operator="containsText" dxfId="17" text="Local Vendor">
      <formula>NOT(ISERROR(SEARCH(("Local Vendor"),(Q6))))</formula>
    </cfRule>
    <cfRule type="containsText" priority="12" operator="containsText" dxfId="16" text="Rodeo">
      <formula>NOT(ISERROR(SEARCH(("Rodeo"),(Q6))))</formula>
    </cfRule>
  </conditionalFormatting>
  <conditionalFormatting sqref="Q277">
    <cfRule type="expression" priority="4" dxfId="12">
      <formula>IF($L277="VFX TBD",TRUE)</formula>
    </cfRule>
    <cfRule type="expression" priority="5" dxfId="9">
      <formula>IF($L277="No VFX",TRUE)</formula>
    </cfRule>
    <cfRule type="expression" priority="6" dxfId="8">
      <formula>IF($K277="ALLOWANCE",TRUE)</formula>
    </cfRule>
  </conditionalFormatting>
  <conditionalFormatting sqref="R1:S1749">
    <cfRule type="expression" priority="1" dxfId="12">
      <formula>IF($L1="VFX TBD",TRUE)</formula>
    </cfRule>
    <cfRule type="expression" priority="2" dxfId="9">
      <formula>IF($L1="No VFX",TRUE)</formula>
    </cfRule>
    <cfRule type="expression" priority="3" dxfId="8">
      <formula>IF($K1="ALLOWANCE",TRUE)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30"/>
  <sheetViews>
    <sheetView workbookViewId="0">
      <selection activeCell="A1" sqref="A1"/>
    </sheetView>
  </sheetViews>
  <sheetFormatPr baseColWidth="10" defaultColWidth="12.6640625" defaultRowHeight="15" customHeight="1"/>
  <cols>
    <col width="29.6640625" customWidth="1" style="90" min="1" max="1"/>
    <col width="5.1640625" customWidth="1" style="90" min="2" max="2"/>
    <col width="12.6640625" customWidth="1" style="90" min="3" max="6"/>
  </cols>
  <sheetData>
    <row r="1" ht="15.75" customHeight="1" s="90">
      <c r="A1" s="3" t="n"/>
      <c r="B1" s="3" t="n"/>
      <c r="C1" s="120" t="n"/>
    </row>
    <row r="2" ht="15.75" customHeight="1" s="90">
      <c r="A2" s="3" t="n"/>
      <c r="C2" s="120" t="n"/>
    </row>
    <row r="3" ht="15.75" customHeight="1" s="90">
      <c r="A3" s="3" t="n"/>
      <c r="C3" s="120" t="n"/>
    </row>
    <row r="4" ht="15.75" customHeight="1" s="90">
      <c r="A4" s="3" t="n"/>
      <c r="C4" s="120" t="n"/>
    </row>
    <row r="5" ht="15.75" customHeight="1" s="90">
      <c r="A5" s="3" t="n"/>
      <c r="C5" s="120" t="n"/>
    </row>
    <row r="6" ht="15.75" customHeight="1" s="90">
      <c r="A6" s="3" t="n"/>
      <c r="C6" s="120" t="n"/>
    </row>
    <row r="7" ht="15.75" customHeight="1" s="90">
      <c r="A7" s="3" t="n"/>
      <c r="C7" s="120" t="n"/>
    </row>
    <row r="8" ht="15.75" customHeight="1" s="90">
      <c r="A8" s="3" t="n"/>
      <c r="C8" s="120" t="n"/>
    </row>
    <row r="9" ht="15.75" customHeight="1" s="90">
      <c r="A9" s="3" t="n"/>
      <c r="C9" s="120" t="n"/>
    </row>
    <row r="10" ht="15.75" customHeight="1" s="90">
      <c r="A10" s="3" t="n"/>
      <c r="C10" s="120" t="n"/>
    </row>
    <row r="11" ht="15.75" customHeight="1" s="90">
      <c r="A11" s="3" t="n"/>
      <c r="C11" s="120" t="n"/>
    </row>
    <row r="12" ht="15.75" customHeight="1" s="90">
      <c r="A12" s="3" t="n"/>
      <c r="C12" s="120" t="n"/>
    </row>
    <row r="13" ht="15.75" customHeight="1" s="90">
      <c r="A13" s="3" t="n"/>
      <c r="C13" s="120" t="n"/>
    </row>
    <row r="14" ht="15.75" customHeight="1" s="90">
      <c r="A14" s="3" t="n"/>
      <c r="C14" s="120" t="n"/>
    </row>
    <row r="15" ht="15.75" customHeight="1" s="90">
      <c r="A15" s="3" t="n"/>
      <c r="C15" s="120" t="n"/>
    </row>
    <row r="16" ht="15.75" customHeight="1" s="90">
      <c r="A16" s="3" t="n"/>
      <c r="C16" s="120" t="n"/>
    </row>
    <row r="17" ht="15.75" customHeight="1" s="90">
      <c r="A17" s="3" t="n"/>
      <c r="C17" s="120" t="n"/>
    </row>
    <row r="18" ht="15.75" customHeight="1" s="90">
      <c r="A18" s="3" t="n"/>
      <c r="C18" s="120" t="n"/>
    </row>
    <row r="19" ht="15.75" customHeight="1" s="90">
      <c r="A19" s="3" t="n"/>
      <c r="C19" s="120" t="n"/>
    </row>
    <row r="20" ht="15.75" customHeight="1" s="90">
      <c r="A20" s="3" t="n"/>
      <c r="C20" s="120" t="n"/>
    </row>
    <row r="21" ht="15.75" customHeight="1" s="90">
      <c r="A21" s="3" t="n"/>
      <c r="C21" s="120" t="n"/>
    </row>
    <row r="22" ht="15.75" customHeight="1" s="90">
      <c r="A22" s="3" t="n"/>
      <c r="C22" s="120" t="n"/>
    </row>
    <row r="23" ht="15.75" customHeight="1" s="90">
      <c r="A23" s="3" t="n"/>
      <c r="C23" s="120" t="n"/>
    </row>
    <row r="24" ht="15.75" customHeight="1" s="90">
      <c r="A24" s="3" t="n"/>
      <c r="C24" s="120" t="n"/>
    </row>
    <row r="25" ht="15.75" customHeight="1" s="90">
      <c r="A25" s="3" t="n"/>
      <c r="C25" s="120" t="n"/>
    </row>
    <row r="26" ht="15.75" customHeight="1" s="90">
      <c r="A26" s="3" t="n"/>
      <c r="C26" s="120" t="n"/>
    </row>
    <row r="27" ht="15.75" customHeight="1" s="90">
      <c r="A27" s="3" t="n"/>
      <c r="C27" s="120" t="n"/>
    </row>
    <row r="28" ht="15.75" customHeight="1" s="90">
      <c r="A28" s="3" t="n"/>
      <c r="C28" s="120" t="n"/>
    </row>
    <row r="29" ht="15.75" customHeight="1" s="90">
      <c r="A29" s="3" t="n"/>
      <c r="C29" s="120" t="n"/>
    </row>
    <row r="30" ht="15.75" customHeight="1" s="90">
      <c r="A30" s="3" t="n"/>
      <c r="C30" s="120" t="n"/>
    </row>
    <row r="31" ht="15.75" customHeight="1" s="90"/>
    <row r="32" ht="15.75" customHeight="1" s="90"/>
    <row r="33" ht="15.75" customHeight="1" s="90"/>
    <row r="34" ht="15.75" customHeight="1" s="90"/>
    <row r="35" ht="15.75" customHeight="1" s="90"/>
    <row r="36" ht="15.75" customHeight="1" s="90"/>
    <row r="37" ht="15.75" customHeight="1" s="90"/>
    <row r="38" ht="15.75" customHeight="1" s="90"/>
    <row r="39" ht="15.75" customHeight="1" s="90"/>
    <row r="40" ht="15.75" customHeight="1" s="90"/>
    <row r="41" ht="15.75" customHeight="1" s="90"/>
    <row r="42" ht="15.75" customHeight="1" s="90"/>
    <row r="43" ht="15.75" customHeight="1" s="90"/>
    <row r="44" ht="15.75" customHeight="1" s="90"/>
    <row r="45" ht="15.75" customHeight="1" s="90"/>
    <row r="46" ht="15.75" customHeight="1" s="90"/>
    <row r="47" ht="15.75" customHeight="1" s="90"/>
    <row r="48" ht="15.75" customHeight="1" s="90"/>
    <row r="49" ht="15.75" customHeight="1" s="90"/>
    <row r="50" ht="15.75" customHeight="1" s="90"/>
    <row r="51" ht="15.75" customHeight="1" s="90"/>
    <row r="52" ht="15.75" customHeight="1" s="90"/>
    <row r="53" ht="15.75" customHeight="1" s="90"/>
    <row r="54" ht="15.75" customHeight="1" s="90"/>
    <row r="55" ht="15.75" customHeight="1" s="90"/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39"/>
  <sheetViews>
    <sheetView workbookViewId="0">
      <selection activeCell="A1" sqref="A1"/>
    </sheetView>
  </sheetViews>
  <sheetFormatPr baseColWidth="10" defaultColWidth="12.6640625" defaultRowHeight="15" customHeight="1"/>
  <cols>
    <col width="12.6640625" customWidth="1" style="90" min="1" max="4"/>
    <col width="29.6640625" customWidth="1" style="90" min="5" max="5"/>
    <col width="27.1640625" customWidth="1" style="90" min="6" max="6"/>
    <col width="24.83203125" customWidth="1" style="90" min="7" max="7"/>
  </cols>
  <sheetData>
    <row r="1" ht="15.75" customHeight="1" s="90">
      <c r="A1" s="3" t="n"/>
      <c r="B1" s="3" t="n"/>
      <c r="C1" s="3" t="n"/>
      <c r="D1" s="3" t="n"/>
      <c r="G1" s="3" t="n"/>
      <c r="H1" s="3" t="n"/>
    </row>
    <row r="2" ht="15.75" customHeight="1" s="90">
      <c r="A2" s="3" t="n"/>
      <c r="B2" s="3" t="n"/>
      <c r="C2" s="3" t="n"/>
      <c r="D2" s="3" t="n"/>
      <c r="G2" s="3" t="n"/>
      <c r="H2" s="3" t="n"/>
    </row>
    <row r="3" ht="15.75" customHeight="1" s="90">
      <c r="A3" s="3" t="n"/>
      <c r="B3" s="3" t="n"/>
      <c r="C3" s="3" t="n"/>
      <c r="D3" s="3" t="n"/>
      <c r="G3" s="3" t="n"/>
      <c r="H3" s="3" t="n"/>
    </row>
    <row r="4" ht="15.75" customHeight="1" s="90">
      <c r="B4" s="3" t="n"/>
      <c r="C4" s="3" t="n"/>
      <c r="D4" s="3" t="n"/>
      <c r="G4" s="3" t="n"/>
      <c r="H4" s="3" t="n"/>
    </row>
    <row r="5" ht="15.75" customHeight="1" s="90">
      <c r="B5" s="3" t="n"/>
      <c r="C5" s="3" t="n"/>
      <c r="D5" s="3" t="n"/>
      <c r="G5" s="3" t="n"/>
      <c r="H5" s="3" t="n"/>
    </row>
    <row r="6" ht="15.75" customHeight="1" s="90">
      <c r="B6" s="3" t="n"/>
      <c r="C6" s="3" t="n"/>
      <c r="D6" s="3" t="n"/>
      <c r="G6" s="3" t="n"/>
      <c r="H6" s="3" t="n"/>
    </row>
    <row r="7" ht="15.75" customHeight="1" s="90">
      <c r="G7" s="3" t="n"/>
      <c r="H7" s="3" t="n"/>
    </row>
    <row r="8" ht="15.75" customHeight="1" s="90">
      <c r="G8" s="3" t="n"/>
      <c r="H8" s="3" t="n"/>
    </row>
    <row r="9" ht="15.75" customHeight="1" s="90">
      <c r="G9" s="3" t="n"/>
      <c r="H9" s="3" t="n"/>
    </row>
    <row r="10" ht="15.75" customHeight="1" s="90">
      <c r="G10" s="3" t="n"/>
      <c r="H10" s="3" t="n"/>
    </row>
    <row r="11" ht="15.75" customHeight="1" s="90">
      <c r="G11" s="3" t="n"/>
      <c r="H11" s="3" t="n"/>
    </row>
    <row r="12" ht="15.75" customHeight="1" s="90">
      <c r="G12" s="3" t="n"/>
      <c r="H12" s="3" t="n"/>
    </row>
    <row r="13" ht="15.75" customHeight="1" s="90">
      <c r="G13" s="3" t="n"/>
      <c r="H13" s="3" t="n"/>
    </row>
    <row r="14" ht="15.75" customHeight="1" s="90">
      <c r="G14" s="3" t="n"/>
      <c r="H14" s="3" t="n"/>
    </row>
    <row r="15" ht="15.75" customHeight="1" s="90">
      <c r="G15" s="3" t="n"/>
      <c r="H15" s="3" t="n"/>
    </row>
    <row r="16" ht="15.75" customHeight="1" s="90">
      <c r="G16" s="3" t="n"/>
      <c r="H16" s="3" t="n"/>
    </row>
    <row r="17" ht="15.75" customHeight="1" s="90">
      <c r="G17" s="3" t="n"/>
      <c r="H17" s="3" t="n"/>
    </row>
    <row r="18" ht="15.75" customHeight="1" s="90">
      <c r="G18" s="3" t="n"/>
      <c r="H18" s="3" t="n"/>
    </row>
    <row r="19" ht="15.75" customHeight="1" s="90">
      <c r="G19" s="3" t="n"/>
      <c r="H19" s="3" t="n"/>
    </row>
    <row r="20" ht="15.75" customHeight="1" s="90">
      <c r="G20" s="3" t="n"/>
      <c r="H20" s="3" t="n"/>
    </row>
    <row r="21" ht="15.75" customHeight="1" s="90">
      <c r="G21" s="3" t="n"/>
      <c r="H21" s="3" t="n"/>
    </row>
    <row r="22" ht="15.75" customHeight="1" s="90">
      <c r="G22" s="3" t="n"/>
      <c r="H22" s="3" t="n"/>
    </row>
    <row r="23" ht="15.75" customHeight="1" s="90">
      <c r="G23" s="3" t="n"/>
      <c r="H23" s="3" t="n"/>
    </row>
    <row r="24" ht="15.75" customHeight="1" s="90">
      <c r="G24" s="3" t="n"/>
      <c r="H24" s="3" t="n"/>
    </row>
    <row r="25" ht="15.75" customHeight="1" s="90">
      <c r="G25" s="3" t="n"/>
      <c r="H25" s="3" t="n"/>
    </row>
    <row r="26" ht="15.75" customHeight="1" s="90">
      <c r="G26" s="3" t="n"/>
      <c r="H26" s="3" t="n"/>
    </row>
    <row r="27" ht="15.75" customHeight="1" s="90">
      <c r="G27" s="3" t="n"/>
      <c r="H27" s="3" t="n"/>
    </row>
    <row r="28" ht="15.75" customHeight="1" s="90">
      <c r="G28" s="3" t="n"/>
      <c r="H28" s="3" t="n"/>
    </row>
    <row r="29" ht="15.75" customHeight="1" s="90">
      <c r="G29" s="3" t="n"/>
      <c r="H29" s="3" t="n"/>
    </row>
    <row r="30" ht="15.75" customHeight="1" s="90">
      <c r="G30" s="3" t="n"/>
      <c r="H30" s="3" t="n"/>
    </row>
    <row r="31" ht="15.75" customHeight="1" s="90">
      <c r="G31" s="3" t="n"/>
      <c r="H31" s="3" t="n"/>
    </row>
    <row r="32" ht="15.75" customHeight="1" s="90">
      <c r="G32" s="3" t="n"/>
      <c r="H32" s="3" t="n"/>
    </row>
    <row r="33" ht="15.75" customHeight="1" s="90">
      <c r="G33" s="3" t="n"/>
      <c r="H33" s="3" t="n"/>
    </row>
    <row r="34" ht="15.75" customHeight="1" s="90">
      <c r="G34" s="3" t="n"/>
      <c r="H34" s="3" t="n"/>
    </row>
    <row r="35" ht="15.75" customHeight="1" s="90">
      <c r="G35" s="3" t="n"/>
      <c r="H35" s="3" t="n"/>
    </row>
    <row r="36" ht="15.75" customHeight="1" s="90">
      <c r="G36" s="3" t="n"/>
      <c r="H36" s="3" t="n"/>
    </row>
    <row r="37" ht="15.75" customHeight="1" s="90">
      <c r="G37" s="3" t="n"/>
      <c r="H37" s="3" t="n"/>
    </row>
    <row r="38" ht="15.75" customHeight="1" s="90">
      <c r="G38" s="3" t="n"/>
      <c r="H38" s="3" t="n"/>
    </row>
    <row r="39" ht="15.75" customHeight="1" s="90">
      <c r="G39" s="3" t="n"/>
      <c r="H39" s="3" t="n"/>
    </row>
    <row r="40" ht="15.75" customHeight="1" s="90"/>
    <row r="41" ht="15.75" customHeight="1" s="90"/>
    <row r="42" ht="15.75" customHeight="1" s="90"/>
    <row r="43" ht="15.75" customHeight="1" s="90"/>
    <row r="44" ht="15.75" customHeight="1" s="90"/>
    <row r="45" ht="15.75" customHeight="1" s="90"/>
    <row r="46" ht="15.75" customHeight="1" s="90"/>
    <row r="47" ht="15.75" customHeight="1" s="90"/>
    <row r="48" ht="15.75" customHeight="1" s="90"/>
    <row r="49" ht="15.75" customHeight="1" s="90"/>
    <row r="50" ht="15.75" customHeight="1" s="90"/>
    <row r="51" ht="15.75" customHeight="1" s="90"/>
    <row r="52" ht="15.75" customHeight="1" s="90"/>
    <row r="53" ht="15.75" customHeight="1" s="90"/>
    <row r="54" ht="15.75" customHeight="1" s="90"/>
    <row r="55" ht="15.75" customHeight="1" s="90"/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terms:created xsi:type="dcterms:W3CDTF">2026-07-17T23:43:39Z</dcterms:created>
  <dcterms:modified xsi:type="dcterms:W3CDTF">2026-09-24T15:23:07Z</dcterms:modified>
  <cp:lastModifiedBy/>
</cp:coreProperties>
</file>